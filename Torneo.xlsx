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739B303C-CD1E-47B5-98D1-713E60938BDC}" xr6:coauthVersionLast="47" xr6:coauthVersionMax="47" xr10:uidLastSave="{00000000-0000-0000-0000-000000000000}"/>
  <bookViews>
    <workbookView xWindow="0" yWindow="0" windowWidth="20490" windowHeight="7605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40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3" i="1" l="1"/>
  <c r="K103" i="1"/>
  <c r="M102" i="1"/>
  <c r="K102" i="1"/>
  <c r="G102" i="1"/>
  <c r="M101" i="1"/>
  <c r="K101" i="1"/>
  <c r="I101" i="1"/>
  <c r="G101" i="1"/>
  <c r="J2" i="2"/>
  <c r="I102" i="1"/>
  <c r="G103" i="1"/>
  <c r="I103" i="1"/>
  <c r="N95" i="1"/>
  <c r="N94" i="1"/>
  <c r="L95" i="1"/>
  <c r="L94" i="1"/>
  <c r="J95" i="1"/>
  <c r="J94" i="1"/>
  <c r="H95" i="1"/>
  <c r="H94" i="1"/>
  <c r="W39" i="1"/>
  <c r="R20" i="8"/>
  <c r="R19" i="8"/>
  <c r="R21" i="8" s="1"/>
  <c r="P4" i="3"/>
  <c r="Q4" i="3"/>
  <c r="R4" i="3"/>
  <c r="S4" i="3"/>
  <c r="Q5" i="3"/>
  <c r="R5" i="3"/>
  <c r="S5" i="3"/>
  <c r="P6" i="3"/>
  <c r="Q6" i="3"/>
  <c r="R6" i="3"/>
  <c r="S6" i="3"/>
  <c r="P7" i="3"/>
  <c r="Q7" i="3"/>
  <c r="R7" i="3"/>
  <c r="S7" i="3"/>
  <c r="M88" i="1"/>
  <c r="K88" i="1"/>
  <c r="G88" i="1"/>
  <c r="G90" i="1"/>
  <c r="H15" i="6" a="1"/>
  <c r="H15" i="6"/>
  <c r="D26" i="4"/>
  <c r="P20" i="8"/>
  <c r="P19" i="8"/>
  <c r="P21" i="8" s="1"/>
  <c r="N19" i="8"/>
  <c r="N20" i="8"/>
  <c r="L20" i="8"/>
  <c r="L19" i="8"/>
  <c r="L21" i="8" s="1"/>
  <c r="L23" i="8" s="1"/>
  <c r="K4" i="3"/>
  <c r="L4" i="3"/>
  <c r="M4" i="3"/>
  <c r="N4" i="3"/>
  <c r="O4" i="3"/>
  <c r="O6" i="3"/>
  <c r="N6" i="3"/>
  <c r="M6" i="3"/>
  <c r="L6" i="3"/>
  <c r="K6" i="3"/>
  <c r="O7" i="3"/>
  <c r="N7" i="3"/>
  <c r="M7" i="3"/>
  <c r="L7" i="3"/>
  <c r="K7" i="3"/>
  <c r="K16" i="6" a="1"/>
  <c r="K16" i="6"/>
  <c r="I15" i="6" a="1"/>
  <c r="I15" i="6" s="1"/>
  <c r="K15" i="6" a="1"/>
  <c r="K15" i="6"/>
  <c r="H14" i="6" a="1"/>
  <c r="H14" i="6"/>
  <c r="I14" i="6" a="1"/>
  <c r="I14" i="6"/>
  <c r="B7" i="1"/>
  <c r="D9" i="1"/>
  <c r="D8" i="1"/>
  <c r="D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E2" i="2"/>
  <c r="M90" i="1"/>
  <c r="K90" i="1"/>
  <c r="B5" i="2"/>
  <c r="B4" i="2"/>
  <c r="M89" i="1"/>
  <c r="K89" i="1"/>
  <c r="D29" i="7"/>
  <c r="E29" i="7"/>
  <c r="F29" i="7"/>
  <c r="C29" i="7"/>
  <c r="D26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N99" i="1" l="1"/>
  <c r="M99" i="1"/>
  <c r="L99" i="1"/>
  <c r="K99" i="1"/>
  <c r="J99" i="1"/>
  <c r="I99" i="1"/>
  <c r="H99" i="1"/>
  <c r="G99" i="1"/>
  <c r="N21" i="8"/>
  <c r="N23" i="8" s="1"/>
  <c r="P23" i="8"/>
  <c r="J4" i="7"/>
  <c r="L4" i="7"/>
  <c r="K4" i="7"/>
  <c r="J15" i="6" l="1"/>
  <c r="K3" i="7"/>
  <c r="K14" i="6" a="1"/>
  <c r="K14" i="6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K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19" i="3"/>
  <c r="F20" i="3"/>
  <c r="F21" i="3"/>
  <c r="F22" i="3"/>
  <c r="E3" i="3"/>
  <c r="E4" i="3"/>
  <c r="E5" i="3"/>
  <c r="E6" i="3"/>
  <c r="E7" i="3"/>
  <c r="E8" i="3"/>
  <c r="E9" i="3"/>
  <c r="E10" i="3"/>
  <c r="E19" i="3"/>
  <c r="E20" i="3"/>
  <c r="E21" i="3"/>
  <c r="E22" i="3"/>
  <c r="D22" i="3"/>
  <c r="D21" i="3"/>
  <c r="D20" i="3"/>
  <c r="D19" i="3"/>
  <c r="D10" i="3"/>
  <c r="D9" i="3"/>
  <c r="D8" i="3"/>
  <c r="D7" i="3"/>
  <c r="D6" i="3"/>
  <c r="D5" i="3"/>
  <c r="D4" i="3"/>
  <c r="D3" i="3"/>
  <c r="C21" i="3"/>
  <c r="C22" i="3"/>
  <c r="C19" i="3"/>
  <c r="C20" i="3"/>
  <c r="C10" i="3"/>
  <c r="C9" i="3"/>
  <c r="C8" i="3"/>
  <c r="C7" i="3"/>
  <c r="C6" i="3"/>
  <c r="C5" i="3"/>
  <c r="C3" i="3"/>
  <c r="J3" i="1"/>
  <c r="M129" i="1"/>
  <c r="K129" i="1"/>
  <c r="I128" i="1"/>
  <c r="G128" i="1"/>
  <c r="N121" i="1"/>
  <c r="L121" i="1"/>
  <c r="J121" i="1"/>
  <c r="H121" i="1"/>
  <c r="N120" i="1"/>
  <c r="N125" i="1" s="1"/>
  <c r="M127" i="1" s="1"/>
  <c r="L120" i="1"/>
  <c r="L125" i="1" s="1"/>
  <c r="K127" i="1" s="1"/>
  <c r="J120" i="1"/>
  <c r="J125" i="1" s="1"/>
  <c r="I127" i="1" s="1"/>
  <c r="H120" i="1"/>
  <c r="H125" i="1" s="1"/>
  <c r="G127" i="1" s="1"/>
  <c r="M116" i="1"/>
  <c r="K116" i="1"/>
  <c r="I115" i="1"/>
  <c r="G115" i="1"/>
  <c r="N108" i="1"/>
  <c r="L108" i="1"/>
  <c r="J108" i="1"/>
  <c r="H108" i="1"/>
  <c r="N107" i="1"/>
  <c r="N112" i="1" s="1"/>
  <c r="M114" i="1" s="1"/>
  <c r="L107" i="1"/>
  <c r="L112" i="1" s="1"/>
  <c r="K114" i="1" s="1"/>
  <c r="J107" i="1"/>
  <c r="J112" i="1" s="1"/>
  <c r="I114" i="1" s="1"/>
  <c r="H107" i="1"/>
  <c r="H112" i="1" s="1"/>
  <c r="G114" i="1" s="1"/>
  <c r="I89" i="1"/>
  <c r="G89" i="1"/>
  <c r="N82" i="1"/>
  <c r="L82" i="1"/>
  <c r="J82" i="1"/>
  <c r="H82" i="1"/>
  <c r="N81" i="1"/>
  <c r="L81" i="1"/>
  <c r="J81" i="1"/>
  <c r="H81" i="1"/>
  <c r="H86" i="1" l="1"/>
  <c r="G86" i="1"/>
  <c r="J86" i="1"/>
  <c r="I86" i="1"/>
  <c r="L86" i="1"/>
  <c r="K86" i="1"/>
  <c r="N86" i="1"/>
  <c r="M86" i="1"/>
  <c r="C24" i="3"/>
  <c r="D24" i="3"/>
  <c r="E3" i="2"/>
  <c r="E4" i="2"/>
  <c r="E24" i="3"/>
  <c r="F24" i="3"/>
  <c r="E5" i="2"/>
  <c r="B2" i="2" l="1"/>
  <c r="G76" i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G38" i="1"/>
  <c r="I38" i="1"/>
  <c r="K38" i="1"/>
  <c r="M38" i="1"/>
  <c r="G51" i="1"/>
  <c r="G64" i="1" s="1"/>
  <c r="I51" i="1"/>
  <c r="I64" i="1" s="1"/>
  <c r="I77" i="1" s="1"/>
  <c r="I90" i="1" s="1"/>
  <c r="I116" i="1" s="1"/>
  <c r="I129" i="1" s="1"/>
  <c r="K51" i="1"/>
  <c r="K64" i="1" s="1"/>
  <c r="K77" i="1" s="1"/>
  <c r="M51" i="1"/>
  <c r="M64" i="1" s="1"/>
  <c r="M77" i="1" s="1"/>
  <c r="D5" i="1"/>
  <c r="L69" i="1" s="1"/>
  <c r="D4" i="1"/>
  <c r="N69" i="1" s="1"/>
  <c r="D3" i="1"/>
  <c r="J69" i="1" s="1"/>
  <c r="D2" i="1"/>
  <c r="H69" i="1" s="1"/>
  <c r="H73" i="1" l="1"/>
  <c r="G73" i="1"/>
  <c r="I73" i="1"/>
  <c r="J73" i="1"/>
  <c r="N73" i="1"/>
  <c r="M73" i="1"/>
  <c r="L73" i="1"/>
  <c r="K73" i="1"/>
  <c r="G77" i="1"/>
  <c r="G116" i="1" s="1"/>
  <c r="G129" i="1" s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I34" i="1" l="1"/>
  <c r="Q29" i="1"/>
  <c r="Q30" i="1"/>
  <c r="K60" i="1"/>
  <c r="G8" i="1"/>
  <c r="I47" i="1"/>
  <c r="K47" i="1"/>
  <c r="M47" i="1"/>
  <c r="M34" i="1"/>
  <c r="K8" i="1"/>
  <c r="M8" i="1"/>
  <c r="I8" i="1"/>
  <c r="B3" i="2" s="1"/>
  <c r="K21" i="1"/>
  <c r="M21" i="1"/>
  <c r="I21" i="1"/>
  <c r="G10" i="1" l="1"/>
  <c r="J4" i="3" s="1"/>
  <c r="Q8" i="1"/>
  <c r="Q21" i="1" s="1"/>
  <c r="Q34" i="1" s="1"/>
  <c r="Q47" i="1" s="1"/>
  <c r="G23" i="1"/>
  <c r="M10" i="1"/>
  <c r="I10" i="1"/>
  <c r="K10" i="1"/>
  <c r="K23" i="1" l="1"/>
  <c r="J6" i="3"/>
  <c r="M23" i="1"/>
  <c r="J7" i="3"/>
  <c r="G36" i="1"/>
  <c r="I23" i="1"/>
  <c r="K5" i="3" s="1"/>
  <c r="J5" i="3"/>
  <c r="D3" i="2"/>
  <c r="D2" i="2"/>
  <c r="D4" i="2"/>
  <c r="D5" i="2"/>
  <c r="G49" i="1" l="1"/>
  <c r="M36" i="1"/>
  <c r="K36" i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49" i="1"/>
  <c r="G62" i="1"/>
  <c r="I49" i="1"/>
  <c r="M5" i="3" s="1"/>
  <c r="N3" i="2"/>
  <c r="G75" i="1" l="1"/>
  <c r="C2" i="2" s="1"/>
  <c r="K3" i="2" s="1"/>
  <c r="M62" i="1"/>
  <c r="K62" i="1"/>
  <c r="I62" i="1"/>
  <c r="N5" i="3" s="1"/>
  <c r="I75" i="1" l="1"/>
  <c r="K75" i="1"/>
  <c r="C4" i="2" s="1"/>
  <c r="K5" i="2" s="1"/>
  <c r="M75" i="1"/>
  <c r="C5" i="2" s="1"/>
  <c r="K4" i="2" s="1"/>
  <c r="I88" i="1" l="1"/>
  <c r="P5" i="3" s="1"/>
  <c r="O5" i="3"/>
  <c r="C3" i="2"/>
  <c r="K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<sst xmlns="http://schemas.openxmlformats.org/spreadsheetml/2006/main" count="516" uniqueCount="99">
  <si>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</si>
  <si>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</si>
  <si>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</si>
  <si>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</si>
  <si>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</si>
  <si>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</si>
  <si>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</si>
  <si>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</si>
  <si>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</si>
  <si>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</si>
  <si>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</si>
  <si>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</si>
  <si>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</si>
  <si>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</si>
  <si>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</si>
  <si>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</si>
  <si>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</si>
  <si>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</si>
  <si>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</si>
  <si>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</si>
  <si>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</si>
  <si>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</si>
  <si>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</si>
  <si>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</si>
  <si>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</si>
  <si>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Gana pablo por</t>
  </si>
  <si>
    <t>Mendoza</t>
  </si>
  <si>
    <t>FECHA 5</t>
  </si>
  <si>
    <t>Calafate</t>
  </si>
  <si>
    <t>FECHA 6</t>
  </si>
  <si>
    <t>Termas</t>
  </si>
  <si>
    <t>FECHA 7</t>
  </si>
  <si>
    <t>Rosario</t>
  </si>
  <si>
    <t>FECHA 8</t>
  </si>
  <si>
    <t>FECHA 9</t>
  </si>
  <si>
    <t>FECHA 10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</si>
  <si>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</si>
  <si>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</si>
  <si>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</si>
  <si>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</si>
  <si>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</si>
  <si>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</si>
  <si>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</si>
  <si>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</si>
  <si>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</si>
  <si>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</si>
  <si>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</si>
  <si>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</si>
  <si>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</si>
  <si>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</si>
  <si>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</si>
  <si>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</si>
  <si>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</si>
  <si>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</si>
  <si>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</si>
  <si>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</si>
  <si>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</si>
  <si>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</si>
  <si>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</si>
  <si>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</si>
  <si>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</si>
  <si>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</si>
  <si>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</si>
  <si>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</si>
  <si>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Total victorias</t>
  </si>
  <si>
    <t>POLE</t>
  </si>
  <si>
    <t>VR</t>
  </si>
  <si>
    <t>POS C1</t>
  </si>
  <si>
    <t>POS C2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</si>
  <si>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</si>
  <si>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</si>
  <si>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</si>
  <si>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</si>
  <si>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</si>
  <si>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</si>
  <si>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</si>
  <si>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Clasificacion</t>
  </si>
  <si>
    <t>VR Carrera 1</t>
  </si>
  <si>
    <t>VR Carrera 2</t>
  </si>
  <si>
    <t>Columna1</t>
  </si>
  <si>
    <t>Pablo C2</t>
  </si>
  <si>
    <t>Eze C2</t>
  </si>
  <si>
    <t>Agus C2</t>
  </si>
  <si>
    <t>Juandi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</si>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</sst>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Kg&quot;"/>
    <numFmt numFmtId="165" formatCode="0.0"/>
    <numFmt numFmtId="166" formatCode="mm:ss.000"/>
    <numFmt numFmtId="167" formatCode="\ &quot;+ &quot;s.000"/>
  </numFmts>
  <fonts count="7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2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3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4" fillId="0" borderId="37" xfId="0" applyNumberFormat="1" applyFont="1" applyBorder="1"/>
    <xf numFmtId="166" fontId="4" fillId="0" borderId="36" xfId="0" applyNumberFormat="1" applyFont="1" applyBorder="1"/>
    <xf numFmtId="3" fontId="4" fillId="0" borderId="35" xfId="0" applyNumberFormat="1" applyFont="1" applyBorder="1"/>
    <xf numFmtId="47" fontId="4" fillId="0" borderId="37" xfId="0" applyNumberFormat="1" applyFont="1" applyBorder="1"/>
    <xf numFmtId="3" fontId="4" fillId="0" borderId="31" xfId="0" applyNumberFormat="1" applyFont="1" applyBorder="1"/>
    <xf numFmtId="0" fontId="4" fillId="0" borderId="35" xfId="0" applyFont="1" applyBorder="1"/>
    <xf numFmtId="0" fontId="4" fillId="0" borderId="35" xfId="0" quotePrefix="1" applyFont="1" applyBorder="1"/>
    <xf numFmtId="0" fontId="4" fillId="0" borderId="30" xfId="0" quotePrefix="1" applyFont="1" applyBorder="1"/>
    <xf numFmtId="166" fontId="6" fillId="0" borderId="0" xfId="0" applyNumberFormat="1" applyFont="1"/>
    <xf numFmtId="0" fontId="6" fillId="0" borderId="0" xfId="0" applyFont="1"/>
    <xf numFmtId="167" fontId="6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5" fillId="0" borderId="32" xfId="0" applyFont="1" applyBorder="1" applyAlignment="1">
      <alignment horizontal="center"/>
    </xf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169.75</c:v>
                </c:pt>
                <c:pt idx="7">
                  <c:v>196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212.25</c:v>
                </c:pt>
                <c:pt idx="7">
                  <c:v>233.25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 (1).xlsx]Grafico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2.1428571428571428</c:v>
                </c:pt>
                <c:pt idx="1">
                  <c:v>2.4285714285714284</c:v>
                </c:pt>
                <c:pt idx="2">
                  <c:v>3.4285714285714284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1.8571428571428572</c:v>
                </c:pt>
                <c:pt idx="1">
                  <c:v>2.7142857142857144</c:v>
                </c:pt>
                <c:pt idx="2">
                  <c:v>3.5714285714285716</c:v>
                </c:pt>
                <c:pt idx="3">
                  <c:v>1.8571428571428572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0.104097800926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7">
        <s v="CABALEN"/>
        <s v="LA PLATA"/>
        <s v="SAN JORGE"/>
        <s v="TOAY"/>
        <s v="MENDOZA"/>
        <s v="CALAFATE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4"/>
    <n v="4"/>
  </r>
  <r>
    <x v="6"/>
    <x v="3"/>
    <n v="0"/>
    <n v="0"/>
    <n v="0"/>
    <n v="3"/>
    <n v="1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8">
        <item x="0"/>
        <item x="1"/>
        <item x="4"/>
        <item x="2"/>
        <item x="3"/>
        <item x="6"/>
        <item x="5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7">
        <i x="0" s="1"/>
        <i x="5" s="1"/>
        <i x="1" s="1"/>
        <i x="4" s="1"/>
        <i x="2" s="1"/>
        <i x="3" s="1"/>
        <i x="6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abSelected="1" topLeftCell="E68" zoomScaleNormal="100" workbookViewId="0">
      <selection activeCell="F93" sqref="F93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01" t="s">
        <v>0</v>
      </c>
      <c r="B1" s="101"/>
      <c r="C1" s="101" t="s">
        <v>1</v>
      </c>
      <c r="D1" s="101"/>
      <c r="E1" s="1"/>
      <c r="F1" s="98" t="s">
        <v>2</v>
      </c>
      <c r="G1" s="98"/>
      <c r="H1" s="98"/>
      <c r="I1" s="98"/>
      <c r="J1" s="98"/>
      <c r="K1" s="98"/>
      <c r="L1" s="98"/>
      <c r="M1" s="98"/>
      <c r="N1" s="98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92">
        <v>1</v>
      </c>
      <c r="B2" s="92">
        <v>25</v>
      </c>
      <c r="C2" s="92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/>
      <c r="Q2" s="1"/>
      <c r="R2" s="98" t="s">
        <v>2</v>
      </c>
      <c r="S2" s="98"/>
      <c r="T2" s="98"/>
      <c r="U2" s="98"/>
      <c r="V2" s="98"/>
      <c r="W2" s="98"/>
      <c r="X2" s="98"/>
      <c r="Y2" s="98"/>
      <c r="Z2" s="98"/>
    </row>
    <row r="3" spans="1:26" ht="16.5" thickTop="1" thickBot="1">
      <c r="A3" s="92">
        <v>2</v>
      </c>
      <c r="B3" s="92">
        <v>18</v>
      </c>
      <c r="C3" s="92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92">
        <v>3</v>
      </c>
      <c r="B4" s="92">
        <v>15</v>
      </c>
      <c r="C4" s="92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92">
        <v>4</v>
      </c>
      <c r="B5" s="92">
        <v>12</v>
      </c>
      <c r="C5" s="92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98" t="s">
        <v>15</v>
      </c>
      <c r="S6" s="98"/>
      <c r="T6" s="98"/>
      <c r="U6" s="98"/>
      <c r="V6" s="98"/>
      <c r="W6" s="98"/>
      <c r="X6" s="98"/>
      <c r="Y6" s="98"/>
      <c r="Z6" s="98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03">
        <f>+SUM(H3:H7)</f>
        <v>39.25</v>
      </c>
      <c r="H8" s="100"/>
      <c r="I8" s="103">
        <f>+SUM(J3:J7)</f>
        <v>36.75</v>
      </c>
      <c r="J8" s="100"/>
      <c r="K8" s="103">
        <f>+SUM(L3:L7)</f>
        <v>21</v>
      </c>
      <c r="L8" s="100"/>
      <c r="M8" s="103">
        <f>+SUM(N3:N7)</f>
        <v>28.5</v>
      </c>
      <c r="N8" s="100"/>
      <c r="O8" s="1"/>
      <c r="P8" s="1"/>
      <c r="Q8" s="1">
        <f>+SUM(I8-G8)</f>
        <v>-2.5</v>
      </c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98" t="s">
        <v>18</v>
      </c>
      <c r="S9" s="98"/>
      <c r="T9" s="98"/>
      <c r="U9" s="98"/>
      <c r="V9" s="98"/>
      <c r="W9" s="98"/>
      <c r="X9" s="98"/>
      <c r="Y9" s="98"/>
      <c r="Z9" s="98"/>
    </row>
    <row r="10" spans="1:26" ht="15.75" thickTop="1">
      <c r="A10" s="1"/>
      <c r="B10" s="1"/>
      <c r="C10" s="1"/>
      <c r="D10" s="1"/>
      <c r="E10" s="1"/>
      <c r="F10" s="7" t="s">
        <v>19</v>
      </c>
      <c r="G10" s="102">
        <f>G8</f>
        <v>39.25</v>
      </c>
      <c r="H10" s="102"/>
      <c r="I10" s="102">
        <f>I8</f>
        <v>36.75</v>
      </c>
      <c r="J10" s="102"/>
      <c r="K10" s="102">
        <f>K8</f>
        <v>21</v>
      </c>
      <c r="L10" s="102"/>
      <c r="M10" s="102">
        <f>M8</f>
        <v>28.5</v>
      </c>
      <c r="N10" s="102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94">
        <f>+IF($G3=1,40,IF($G3=2,20,IF($G3=3,10,IF($G3=4,0,""))))</f>
        <v>40</v>
      </c>
      <c r="H11" s="95"/>
      <c r="I11" s="94">
        <f>+IF($I3=1,40,IF($I3=2,20,IF($I3=3,10,IF($I3=4,0,""))))</f>
        <v>20</v>
      </c>
      <c r="J11" s="95"/>
      <c r="K11" s="94">
        <f>+IF($K3=1,40,IF($K3=2,20,IF($K3=3,10,IF($K3=4,0,""))))</f>
        <v>0</v>
      </c>
      <c r="L11" s="95"/>
      <c r="M11" s="94">
        <f>+IF($M3=1,40,IF($M3=2,20,IF($M3=3,10,IF($M3=4,0,""))))</f>
        <v>10</v>
      </c>
      <c r="N11" s="95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94">
        <f>+IF($G3=1,40,IF($G3=2,20,IF($G3=3,10,IF($G3=4,0,""))))</f>
        <v>40</v>
      </c>
      <c r="H12" s="95"/>
      <c r="I12" s="94">
        <f>+IF($I3=1,40,IF($I3=2,20,IF($I3=3,10,IF($I3=4,0,""))))</f>
        <v>20</v>
      </c>
      <c r="J12" s="95"/>
      <c r="K12" s="94">
        <f>+IF($K3=1,40,IF($K3=2,20,IF($K3=3,10,IF($K3=4,0,""))))</f>
        <v>0</v>
      </c>
      <c r="L12" s="95"/>
      <c r="M12" s="94">
        <f>+IF($M3=1,40,IF($M3=2,20,IF($M3=3,10,IF($M3=4,0,""))))</f>
        <v>10</v>
      </c>
      <c r="N12" s="95"/>
      <c r="O12" s="1"/>
      <c r="P12" s="1"/>
      <c r="Q12" s="1"/>
      <c r="R12" s="98" t="s">
        <v>21</v>
      </c>
      <c r="S12" s="98"/>
      <c r="T12" s="98"/>
      <c r="U12" s="98"/>
      <c r="V12" s="98"/>
      <c r="W12" s="98"/>
      <c r="X12" s="98"/>
      <c r="Y12" s="98"/>
      <c r="Z12" s="98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98" t="s">
        <v>15</v>
      </c>
      <c r="G14" s="98"/>
      <c r="H14" s="98"/>
      <c r="I14" s="98"/>
      <c r="J14" s="98"/>
      <c r="K14" s="98"/>
      <c r="L14" s="98"/>
      <c r="M14" s="98"/>
      <c r="N14" s="98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03">
        <f>+SUM(H16:H20)</f>
        <v>25.5</v>
      </c>
      <c r="H21" s="100"/>
      <c r="I21" s="99">
        <f>+SUM(J16:J20)</f>
        <v>36.75</v>
      </c>
      <c r="J21" s="100"/>
      <c r="K21" s="99">
        <f>+SUM(L16:L20)</f>
        <v>36.25</v>
      </c>
      <c r="L21" s="100"/>
      <c r="M21" s="99">
        <f>+SUM(N16:N20)</f>
        <v>27</v>
      </c>
      <c r="N21" s="100"/>
      <c r="O21" s="1"/>
      <c r="P21" s="1"/>
      <c r="Q21" s="1">
        <f>+SUM(I21-G21)+Q8</f>
        <v>8.75</v>
      </c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96">
        <f>+SUM(G21+G10)</f>
        <v>64.75</v>
      </c>
      <c r="H23" s="97"/>
      <c r="I23" s="96">
        <f>+SUM(I21+I10)</f>
        <v>73.5</v>
      </c>
      <c r="J23" s="97"/>
      <c r="K23" s="96">
        <f>+SUM(K21+K10)</f>
        <v>57.25</v>
      </c>
      <c r="L23" s="97"/>
      <c r="M23" s="96">
        <f>+SUM(M21+M10)</f>
        <v>55.5</v>
      </c>
      <c r="N23" s="97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94">
        <f>+IF($G16=1,40,IF($G16=2,20,IF($G16=3,10,IF($G16=4,0,""))))</f>
        <v>0</v>
      </c>
      <c r="H24" s="95"/>
      <c r="I24" s="94">
        <f>+IF($I16=1,40,IF($I16=2,20,IF($I16=3,10,IF($I16=4,0,""))))</f>
        <v>10</v>
      </c>
      <c r="J24" s="95"/>
      <c r="K24" s="94">
        <f>+IF($K16=1,40,IF($K16=2,20,IF($K16=3,10,IF($K16=4,0,""))))</f>
        <v>40</v>
      </c>
      <c r="L24" s="95"/>
      <c r="M24" s="94">
        <f>+IF($M16=1,40,IF($M16=2,20,IF($M16=3,10,IF($M16=4,0,""))))</f>
        <v>20</v>
      </c>
      <c r="N24" s="95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94">
        <f>+SUM(G24+G12)</f>
        <v>40</v>
      </c>
      <c r="H25" s="95"/>
      <c r="I25" s="94">
        <f>+SUM(I24+I12)</f>
        <v>30</v>
      </c>
      <c r="J25" s="95"/>
      <c r="K25" s="94">
        <f>+SUM(K24+K12)</f>
        <v>40</v>
      </c>
      <c r="L25" s="95"/>
      <c r="M25" s="94">
        <f>+SUM(M24+M12)</f>
        <v>30</v>
      </c>
      <c r="N25" s="95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98" t="s">
        <v>18</v>
      </c>
      <c r="G27" s="98"/>
      <c r="H27" s="98"/>
      <c r="I27" s="98"/>
      <c r="J27" s="98"/>
      <c r="K27" s="98"/>
      <c r="L27" s="98"/>
      <c r="M27" s="98"/>
      <c r="N27" s="98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/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>
        <f>+SUM(J29-H29)</f>
        <v>7</v>
      </c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>
        <f>+SUM(J30-H30)</f>
        <v>5.25</v>
      </c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99">
        <f>+SUM(H29:H33)</f>
        <v>31.5</v>
      </c>
      <c r="H34" s="100"/>
      <c r="I34" s="99">
        <f>+SUM(J29:J33)</f>
        <v>46.75</v>
      </c>
      <c r="J34" s="100"/>
      <c r="K34" s="99">
        <f>+SUM(L29:L33)</f>
        <v>26.25</v>
      </c>
      <c r="L34" s="100"/>
      <c r="M34" s="99">
        <f>+SUM(N29:N33)</f>
        <v>21</v>
      </c>
      <c r="N34" s="100"/>
      <c r="O34" s="1"/>
      <c r="P34" s="1"/>
      <c r="Q34" s="1">
        <f>+SUM(I34-G34)+Q21</f>
        <v>24</v>
      </c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96">
        <f>+SUM(G34,G23)</f>
        <v>96.25</v>
      </c>
      <c r="H36" s="97"/>
      <c r="I36" s="96">
        <f>+SUM(I34,I23)</f>
        <v>120.25</v>
      </c>
      <c r="J36" s="97"/>
      <c r="K36" s="96">
        <f>+SUM(K34,K23)</f>
        <v>83.5</v>
      </c>
      <c r="L36" s="97"/>
      <c r="M36" s="96">
        <f>+SUM(M34,M23)</f>
        <v>76.5</v>
      </c>
      <c r="N36" s="97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94">
        <f>+IF($G29=1,40,IF($G29=2,20,IF($G29=3,10,IF($G29=4,0,""))))</f>
        <v>20</v>
      </c>
      <c r="H37" s="95"/>
      <c r="I37" s="94">
        <f>+IF($I29=1,40,IF($I29=2,20,IF($I29=3,10,IF($I29=4,0,""))))</f>
        <v>40</v>
      </c>
      <c r="J37" s="95"/>
      <c r="K37" s="94">
        <f>+IF($K29=1,40,IF($K29=2,20,IF($K29=3,10,IF($K29=4,0,""))))</f>
        <v>10</v>
      </c>
      <c r="L37" s="95"/>
      <c r="M37" s="94">
        <f>+IF($M29=1,40,IF($M29=2,20,IF($M29=3,10,IF($M29=4,0,""))))</f>
        <v>0</v>
      </c>
      <c r="N37" s="95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94">
        <f>+SUM(G37+G25)</f>
        <v>60</v>
      </c>
      <c r="H38" s="95"/>
      <c r="I38" s="94">
        <f>+SUM(I37+I25)</f>
        <v>70</v>
      </c>
      <c r="J38" s="95"/>
      <c r="K38" s="94">
        <f>+SUM(K37+K25)</f>
        <v>50</v>
      </c>
      <c r="L38" s="95"/>
      <c r="M38" s="94">
        <f>+SUM(M37+M25)</f>
        <v>30</v>
      </c>
      <c r="N38" s="95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>
        <f>+SUM(J29*0.7)</f>
        <v>17.5</v>
      </c>
    </row>
    <row r="40" spans="6:23" ht="15.75" thickBot="1">
      <c r="F40" s="98" t="s">
        <v>21</v>
      </c>
      <c r="G40" s="98"/>
      <c r="H40" s="98"/>
      <c r="I40" s="98"/>
      <c r="J40" s="98"/>
      <c r="K40" s="98"/>
      <c r="L40" s="98"/>
      <c r="M40" s="98"/>
      <c r="N40" s="98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/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 t="s">
        <v>25</v>
      </c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99">
        <f>+SUM(H42:H46)</f>
        <v>45.75</v>
      </c>
      <c r="H47" s="100"/>
      <c r="I47" s="99">
        <f t="shared" ref="I47" si="0">+SUM(J42:J46)</f>
        <v>28.5</v>
      </c>
      <c r="J47" s="100"/>
      <c r="K47" s="99">
        <f t="shared" ref="K47" si="1">+SUM(L42:L46)</f>
        <v>23.25</v>
      </c>
      <c r="L47" s="100"/>
      <c r="M47" s="99">
        <f t="shared" ref="M47" si="2">+SUM(N42:N46)</f>
        <v>28</v>
      </c>
      <c r="N47" s="100"/>
      <c r="O47" s="1"/>
      <c r="P47" s="1"/>
      <c r="Q47" s="1">
        <f>+SUM(I47-G47)+Q34</f>
        <v>6.75</v>
      </c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4">
      <c r="F49" s="7" t="s">
        <v>19</v>
      </c>
      <c r="G49" s="96">
        <f>+SUM(G47,G36)</f>
        <v>142</v>
      </c>
      <c r="H49" s="97"/>
      <c r="I49" s="96">
        <f>+SUM(I47,I36)</f>
        <v>148.75</v>
      </c>
      <c r="J49" s="97"/>
      <c r="K49" s="96">
        <f>+SUM(K47,K36)</f>
        <v>106.75</v>
      </c>
      <c r="L49" s="97"/>
      <c r="M49" s="96">
        <f>+SUM(M47,M36)</f>
        <v>104.5</v>
      </c>
      <c r="N49" s="97"/>
    </row>
    <row r="50" spans="6:14">
      <c r="F50" s="7" t="s">
        <v>12</v>
      </c>
      <c r="G50" s="94">
        <f>+IF($G42=1,40,IF($G42=2,20,IF($G42=3,10,IF($G42=4,0,""))))</f>
        <v>40</v>
      </c>
      <c r="H50" s="95"/>
      <c r="I50" s="94">
        <f>+IF($I42=1,40,IF($I42=2,20,IF($I42=3,10,IF($I42=4,0,""))))</f>
        <v>10</v>
      </c>
      <c r="J50" s="95"/>
      <c r="K50" s="94">
        <f>+IF($K42=1,40,IF($K42=2,20,IF($K42=3,10,IF($K42=4,0,""))))</f>
        <v>0</v>
      </c>
      <c r="L50" s="95"/>
      <c r="M50" s="94">
        <f>+IF($M42=1,40,IF($M42=2,20,IF($M42=3,10,IF($M42=4,0,""))))</f>
        <v>20</v>
      </c>
      <c r="N50" s="95"/>
    </row>
    <row r="51" spans="6:14">
      <c r="F51" s="15" t="s">
        <v>20</v>
      </c>
      <c r="G51" s="94">
        <f>+SUM(G50+G38-G11)</f>
        <v>60</v>
      </c>
      <c r="H51" s="95"/>
      <c r="I51" s="94">
        <f>+SUM(I50+I38-I11)</f>
        <v>60</v>
      </c>
      <c r="J51" s="95"/>
      <c r="K51" s="94">
        <f>+SUM(K50+K38-K11)</f>
        <v>50</v>
      </c>
      <c r="L51" s="95"/>
      <c r="M51" s="94">
        <f>+SUM(M50+M38-M11)</f>
        <v>40</v>
      </c>
      <c r="N51" s="95"/>
    </row>
    <row r="52" spans="6:14">
      <c r="F52" s="27"/>
      <c r="G52" s="28"/>
      <c r="H52" s="28"/>
      <c r="I52" s="28"/>
      <c r="J52" s="28"/>
      <c r="K52" s="28"/>
      <c r="L52" s="28"/>
      <c r="M52" s="28"/>
      <c r="N52" s="28"/>
    </row>
    <row r="53" spans="6:14" ht="15.75" thickBot="1">
      <c r="F53" s="98" t="s">
        <v>26</v>
      </c>
      <c r="G53" s="98"/>
      <c r="H53" s="98"/>
      <c r="I53" s="98"/>
      <c r="J53" s="98"/>
      <c r="K53" s="98"/>
      <c r="L53" s="98"/>
      <c r="M53" s="98"/>
      <c r="N53" s="98"/>
    </row>
    <row r="54" spans="6:14" ht="16.5" thickTop="1" thickBot="1">
      <c r="F54" s="13" t="s">
        <v>27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</row>
    <row r="55" spans="6:14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</row>
    <row r="56" spans="6:14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</row>
    <row r="57" spans="6:14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</row>
    <row r="58" spans="6:14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</row>
    <row r="59" spans="6:14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</row>
    <row r="60" spans="6:14" ht="15.75" thickBot="1">
      <c r="F60" s="12" t="s">
        <v>17</v>
      </c>
      <c r="G60" s="99">
        <f>+SUM(H55:H59)</f>
        <v>30.5</v>
      </c>
      <c r="H60" s="100"/>
      <c r="I60" s="99">
        <f>+SUM(J55:J59)</f>
        <v>29.25</v>
      </c>
      <c r="J60" s="100"/>
      <c r="K60" s="99">
        <f t="shared" ref="K60" si="3">+SUM(L55:L59)</f>
        <v>21</v>
      </c>
      <c r="L60" s="100"/>
      <c r="M60" s="99">
        <f t="shared" ref="M60" si="4">+SUM(N55:N59)</f>
        <v>44.75</v>
      </c>
      <c r="N60" s="100"/>
    </row>
    <row r="61" spans="6:14" ht="15.75" thickTop="1">
      <c r="F61" s="1"/>
      <c r="G61" s="1"/>
      <c r="H61" s="1"/>
      <c r="I61" s="1"/>
      <c r="J61" s="1"/>
      <c r="K61" s="1"/>
      <c r="L61" s="1"/>
      <c r="M61" s="1"/>
      <c r="N61" s="1"/>
    </row>
    <row r="62" spans="6:14">
      <c r="F62" s="7" t="s">
        <v>19</v>
      </c>
      <c r="G62" s="96">
        <f>+SUM(G60,G49)</f>
        <v>172.5</v>
      </c>
      <c r="H62" s="97"/>
      <c r="I62" s="96">
        <f t="shared" ref="I62" si="5">+SUM(I60,I49)</f>
        <v>178</v>
      </c>
      <c r="J62" s="97"/>
      <c r="K62" s="96">
        <f t="shared" ref="K62" si="6">+SUM(K60,K49)</f>
        <v>127.75</v>
      </c>
      <c r="L62" s="97"/>
      <c r="M62" s="96">
        <f t="shared" ref="M62" si="7">+SUM(M60,M49)</f>
        <v>149.25</v>
      </c>
      <c r="N62" s="97"/>
    </row>
    <row r="63" spans="6:14">
      <c r="F63" s="7" t="s">
        <v>12</v>
      </c>
      <c r="G63" s="94">
        <f>+IF($G55=1,40,IF($G55=2,20,IF($G55=3,10,IF($G55=4,0,""))))</f>
        <v>10</v>
      </c>
      <c r="H63" s="95"/>
      <c r="I63" s="94">
        <f>+IF($I55=1,40,IF($I55=2,20,IF($I55=3,10,IF($I55=4,0,""))))</f>
        <v>20</v>
      </c>
      <c r="J63" s="95"/>
      <c r="K63" s="94">
        <f>+IF($K55=1,40,IF($K55=2,20,IF($K55=3,10,IF($K55=4,0,""))))</f>
        <v>0</v>
      </c>
      <c r="L63" s="95"/>
      <c r="M63" s="94">
        <f>+IF($M55=1,40,IF($M55=2,20,IF($M55=3,10,IF($M55=4,0,""))))</f>
        <v>40</v>
      </c>
      <c r="N63" s="95"/>
    </row>
    <row r="64" spans="6:14">
      <c r="F64" s="15" t="s">
        <v>20</v>
      </c>
      <c r="G64" s="94">
        <f>+SUM(G63+G51-G24)</f>
        <v>70</v>
      </c>
      <c r="H64" s="95"/>
      <c r="I64" s="94">
        <f>+SUM(I63+I51-I24)</f>
        <v>70</v>
      </c>
      <c r="J64" s="95"/>
      <c r="K64" s="94">
        <f>+SUM(K63+K51-K24)</f>
        <v>10</v>
      </c>
      <c r="L64" s="95"/>
      <c r="M64" s="94">
        <f>+SUM(M63+M51-M24)</f>
        <v>60</v>
      </c>
      <c r="N64" s="95"/>
    </row>
    <row r="66" spans="6:14" ht="15.75" thickBot="1">
      <c r="F66" s="98" t="s">
        <v>28</v>
      </c>
      <c r="G66" s="98"/>
      <c r="H66" s="98"/>
      <c r="I66" s="98"/>
      <c r="J66" s="98"/>
      <c r="K66" s="98"/>
      <c r="L66" s="98"/>
      <c r="M66" s="98"/>
      <c r="N66" s="98"/>
    </row>
    <row r="67" spans="6:14" ht="16.5" thickTop="1" thickBot="1">
      <c r="F67" s="13" t="s">
        <v>29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</row>
    <row r="68" spans="6:14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</row>
    <row r="69" spans="6:14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</row>
    <row r="70" spans="6:14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</row>
    <row r="71" spans="6:14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</row>
    <row r="72" spans="6:14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</row>
    <row r="73" spans="6:14" ht="15.75" thickBot="1">
      <c r="F73" s="12" t="s">
        <v>17</v>
      </c>
      <c r="G73" s="99">
        <f>+SUM(H68:H72)</f>
        <v>34.75</v>
      </c>
      <c r="H73" s="100">
        <f>+SUM(H68:H72)</f>
        <v>34.75</v>
      </c>
      <c r="I73" s="99">
        <f>+SUM(J68:J72)</f>
        <v>40.5</v>
      </c>
      <c r="J73" s="100">
        <f>+SUM(J68:J72)</f>
        <v>40.5</v>
      </c>
      <c r="K73" s="99">
        <f>+SUM(L68:L72)</f>
        <v>21</v>
      </c>
      <c r="L73" s="100">
        <f t="shared" ref="L73" si="8">+SUM(L68:L72)</f>
        <v>21</v>
      </c>
      <c r="M73" s="99">
        <f t="shared" ref="M73" si="9">+SUM(N68:N72)</f>
        <v>29.25</v>
      </c>
      <c r="N73" s="100">
        <f t="shared" ref="N73" si="10">+SUM(N68:N72)</f>
        <v>29.25</v>
      </c>
    </row>
    <row r="74" spans="6:14" ht="15.75" thickTop="1">
      <c r="F74" s="1"/>
      <c r="G74" s="1"/>
      <c r="H74" s="1"/>
      <c r="I74" s="1"/>
      <c r="J74" s="1"/>
      <c r="K74" s="1"/>
      <c r="L74" s="1"/>
      <c r="M74" s="1"/>
      <c r="N74" s="1"/>
    </row>
    <row r="75" spans="6:14">
      <c r="F75" s="7" t="s">
        <v>19</v>
      </c>
      <c r="G75" s="96">
        <f>+SUM(G73,G62)</f>
        <v>207.25</v>
      </c>
      <c r="H75" s="97"/>
      <c r="I75" s="96">
        <f>+SUM(I73,I62)</f>
        <v>218.5</v>
      </c>
      <c r="J75" s="97"/>
      <c r="K75" s="96">
        <f>+SUM(K73,K62)</f>
        <v>148.75</v>
      </c>
      <c r="L75" s="97"/>
      <c r="M75" s="96">
        <f>+SUM(M73,M62)</f>
        <v>178.5</v>
      </c>
      <c r="N75" s="97"/>
    </row>
    <row r="76" spans="6:14">
      <c r="F76" s="7" t="s">
        <v>12</v>
      </c>
      <c r="G76" s="94">
        <f>+IF($G68=1,40,IF($G68=2,20,IF($G68=3,10,IF($G68=4,0,""))))</f>
        <v>10</v>
      </c>
      <c r="H76" s="95"/>
      <c r="I76" s="94">
        <f>+IF($I68=1,40,IF($I68=2,20,IF($I68=3,10,IF($I68=4,0,""))))</f>
        <v>40</v>
      </c>
      <c r="J76" s="95"/>
      <c r="K76" s="94">
        <f>+IF($K68=1,40,IF($K68=2,20,IF($K68=3,10,IF($K68=4,0,""))))</f>
        <v>0</v>
      </c>
      <c r="L76" s="95"/>
      <c r="M76" s="94">
        <f>+IF($M68=1,40,IF($M68=2,20,IF($M68=3,10,IF($M68=4,0,""))))</f>
        <v>20</v>
      </c>
      <c r="N76" s="95"/>
    </row>
    <row r="77" spans="6:14">
      <c r="F77" s="15" t="s">
        <v>20</v>
      </c>
      <c r="G77" s="94">
        <f>+SUM(G76+G64-G37)</f>
        <v>60</v>
      </c>
      <c r="H77" s="95"/>
      <c r="I77" s="94">
        <f>+SUM(I76+I64-I37)</f>
        <v>70</v>
      </c>
      <c r="J77" s="95"/>
      <c r="K77" s="94">
        <f>+SUM(K76+K64-K37)</f>
        <v>0</v>
      </c>
      <c r="L77" s="95"/>
      <c r="M77" s="94">
        <f>+SUM(M76+M64-M37)</f>
        <v>80</v>
      </c>
      <c r="N77" s="95"/>
    </row>
    <row r="79" spans="6:14" ht="15.75" thickBot="1">
      <c r="F79" s="98" t="s">
        <v>30</v>
      </c>
      <c r="G79" s="98"/>
      <c r="H79" s="98"/>
      <c r="I79" s="98"/>
      <c r="J79" s="98"/>
      <c r="K79" s="98"/>
      <c r="L79" s="98"/>
      <c r="M79" s="98"/>
      <c r="N79" s="98"/>
    </row>
    <row r="80" spans="6:14" ht="16.5" thickTop="1" thickBot="1">
      <c r="F80" s="13" t="s">
        <v>31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</row>
    <row r="81" spans="6:14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4</v>
      </c>
      <c r="L81" s="6">
        <f>+IF(K81=1,$B$2,IF($K81=2,$B$3,IF($K81=3,$B$4,IF($K81=4,$B$5,""))))</f>
        <v>12</v>
      </c>
      <c r="M81" s="9">
        <v>3</v>
      </c>
      <c r="N81" s="6">
        <f>+IF(M81=1,$B$2,IF($M81=2,$B$3,IF($M81=3,$B$4,IF($M81=4,$B$5,""))))</f>
        <v>15</v>
      </c>
    </row>
    <row r="82" spans="6:14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</row>
    <row r="83" spans="6:14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</row>
    <row r="84" spans="6:14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</row>
    <row r="85" spans="6:14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</row>
    <row r="86" spans="6:14" ht="15.75" thickBot="1">
      <c r="F86" s="12" t="s">
        <v>17</v>
      </c>
      <c r="G86" s="99">
        <f>+SUM(H81:H85)</f>
        <v>40.5</v>
      </c>
      <c r="H86" s="100">
        <f>+SUM(H81:H85)</f>
        <v>40.5</v>
      </c>
      <c r="I86" s="99">
        <f>+SUM(J81:J85)</f>
        <v>30.25</v>
      </c>
      <c r="J86" s="100">
        <f>+SUM(J81:J85)</f>
        <v>30.25</v>
      </c>
      <c r="K86" s="99">
        <f t="shared" ref="K86:N86" si="11">+SUM(L81:L85)</f>
        <v>21</v>
      </c>
      <c r="L86" s="100">
        <f t="shared" ref="L86" si="12">+SUM(L81:L85)</f>
        <v>21</v>
      </c>
      <c r="M86" s="99">
        <f t="shared" ref="M86:N86" si="13">+SUM(N81:N85)</f>
        <v>33.75</v>
      </c>
      <c r="N86" s="100">
        <f t="shared" ref="N86" si="14">+SUM(N81:N85)</f>
        <v>33.75</v>
      </c>
    </row>
    <row r="87" spans="6:14">
      <c r="F87" s="1"/>
      <c r="G87" s="1"/>
      <c r="H87" s="1"/>
      <c r="I87" s="1"/>
      <c r="J87" s="1"/>
      <c r="K87" s="1"/>
      <c r="L87" s="1"/>
      <c r="M87" s="1"/>
      <c r="N87" s="1"/>
    </row>
    <row r="88" spans="6:14">
      <c r="F88" s="7" t="s">
        <v>19</v>
      </c>
      <c r="G88" s="96">
        <f>+SUM(G86,G75)</f>
        <v>247.75</v>
      </c>
      <c r="H88" s="97"/>
      <c r="I88" s="96">
        <f>+SUM(I86,I75)</f>
        <v>248.75</v>
      </c>
      <c r="J88" s="97"/>
      <c r="K88" s="96">
        <f>+SUM(K86,K75)</f>
        <v>169.75</v>
      </c>
      <c r="L88" s="97"/>
      <c r="M88" s="96">
        <f>+SUM(M86,M75)</f>
        <v>212.25</v>
      </c>
      <c r="N88" s="97"/>
    </row>
    <row r="89" spans="6:14">
      <c r="F89" s="7" t="s">
        <v>12</v>
      </c>
      <c r="G89" s="94">
        <f>+IF($G81=1,40,IF($G81=2,20,IF($G81=3,10,IF($G81=4,0,""))))</f>
        <v>40</v>
      </c>
      <c r="H89" s="95"/>
      <c r="I89" s="94">
        <f>+IF($I81=1,40,IF($I81=2,20,IF($I81=3,10,IF($I81=4,0,""))))</f>
        <v>20</v>
      </c>
      <c r="J89" s="95"/>
      <c r="K89" s="94">
        <f>+IF($K81=1,40,IF($K81=2,20,IF($K81=3,10,IF($K81=4,0,""))))</f>
        <v>0</v>
      </c>
      <c r="L89" s="95"/>
      <c r="M89" s="94">
        <f>+IF($M81=1,40,IF($M81=2,20,IF($M81=3,10,IF($M81=4,0,""))))</f>
        <v>10</v>
      </c>
      <c r="N89" s="95"/>
    </row>
    <row r="90" spans="6:14">
      <c r="F90" s="15" t="s">
        <v>20</v>
      </c>
      <c r="G90" s="94">
        <f>+SUM(G89+G77-G50)</f>
        <v>60</v>
      </c>
      <c r="H90" s="95"/>
      <c r="I90" s="94">
        <f>+SUM(I89+I77-I50)</f>
        <v>80</v>
      </c>
      <c r="J90" s="95"/>
      <c r="K90" s="94">
        <f>+SUM(K89+K77-K50)</f>
        <v>0</v>
      </c>
      <c r="L90" s="95"/>
      <c r="M90" s="94">
        <f>+SUM(M89+M77-M50)</f>
        <v>70</v>
      </c>
      <c r="N90" s="95"/>
    </row>
    <row r="92" spans="6:14">
      <c r="F92" s="98" t="s">
        <v>32</v>
      </c>
      <c r="G92" s="98"/>
      <c r="H92" s="98"/>
      <c r="I92" s="98"/>
      <c r="J92" s="98"/>
      <c r="K92" s="98"/>
      <c r="L92" s="98"/>
      <c r="M92" s="98"/>
      <c r="N92" s="98"/>
    </row>
    <row r="93" spans="6:14" ht="16.5" customHeight="1">
      <c r="F93" s="13" t="s">
        <v>33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</row>
    <row r="94" spans="6:14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</row>
    <row r="95" spans="6:14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3</v>
      </c>
      <c r="L95" s="5">
        <f>+IF(K95=1,$D$2,IF($K95=2,$D$3,IF($K95=3,$D$4,IF($K95=4,$D$5,""))))</f>
        <v>11.25</v>
      </c>
      <c r="M95" s="10">
        <v>4</v>
      </c>
      <c r="N95" s="5">
        <f>+IF(M95=1,$D$2,IF($M95=2,$D$3,IF($M95=3,$D$4,IF($M95=4,$D$5,""))))</f>
        <v>9</v>
      </c>
    </row>
    <row r="96" spans="6:14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</row>
    <row r="97" spans="6:14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</row>
    <row r="98" spans="6:14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</row>
    <row r="99" spans="6:14" ht="15.75" customHeight="1">
      <c r="F99" s="12" t="s">
        <v>17</v>
      </c>
      <c r="G99" s="99">
        <f>+SUM(H94:H98)</f>
        <v>39.75</v>
      </c>
      <c r="H99" s="100">
        <f>+SUM(H94:H98)</f>
        <v>39.75</v>
      </c>
      <c r="I99" s="99">
        <f>+SUM(J94:J98)</f>
        <v>38.5</v>
      </c>
      <c r="J99" s="100">
        <f>+SUM(J94:J98)</f>
        <v>38.5</v>
      </c>
      <c r="K99" s="99">
        <f t="shared" ref="K99" si="15">+SUM(L94:L98)</f>
        <v>26.25</v>
      </c>
      <c r="L99" s="100">
        <f t="shared" ref="L99" si="16">+SUM(L94:L98)</f>
        <v>26.25</v>
      </c>
      <c r="M99" s="99">
        <f t="shared" ref="M99" si="17">+SUM(N94:N98)</f>
        <v>21</v>
      </c>
      <c r="N99" s="100">
        <f t="shared" ref="N99" si="18">+SUM(N94:N98)</f>
        <v>21</v>
      </c>
    </row>
    <row r="100" spans="6:14">
      <c r="F100" s="1"/>
      <c r="G100" s="1"/>
      <c r="H100" s="1"/>
      <c r="I100" s="1"/>
      <c r="J100" s="1"/>
      <c r="K100" s="1"/>
      <c r="L100" s="1"/>
      <c r="M100" s="1"/>
      <c r="N100" s="1"/>
    </row>
    <row r="101" spans="6:14">
      <c r="F101" s="7" t="s">
        <v>19</v>
      </c>
      <c r="G101" s="96">
        <f>+SUM(G99,G88)</f>
        <v>287.5</v>
      </c>
      <c r="H101" s="97"/>
      <c r="I101" s="96">
        <f>+SUM(I99,I88)</f>
        <v>287.25</v>
      </c>
      <c r="J101" s="97"/>
      <c r="K101" s="96">
        <f>+SUM(K99,K88)</f>
        <v>196</v>
      </c>
      <c r="L101" s="97"/>
      <c r="M101" s="96">
        <f>+SUM(M99,M88)</f>
        <v>233.25</v>
      </c>
      <c r="N101" s="97"/>
    </row>
    <row r="102" spans="6:14">
      <c r="F102" s="7" t="s">
        <v>12</v>
      </c>
      <c r="G102" s="94">
        <f>+IF($G94=1,40,IF($G94=2,20,IF($G94=3,10,IF($G94=4,0,""))))</f>
        <v>20</v>
      </c>
      <c r="H102" s="95"/>
      <c r="I102" s="94">
        <f>+IF($I94=1,40,IF($I94=2,20,IF($I94=3,10,IF($I94=4,0,""))))</f>
        <v>40</v>
      </c>
      <c r="J102" s="95"/>
      <c r="K102" s="94">
        <f>+IF($K94=1,40,IF($K94=2,20,IF($K94=3,10,IF($K94=4,0,""))))</f>
        <v>10</v>
      </c>
      <c r="L102" s="95"/>
      <c r="M102" s="94">
        <f>+IF($M94=1,40,IF($M94=2,20,IF($M94=3,10,IF($M94=4,0,""))))</f>
        <v>0</v>
      </c>
      <c r="N102" s="95"/>
    </row>
    <row r="103" spans="6:14">
      <c r="F103" s="15" t="s">
        <v>20</v>
      </c>
      <c r="G103" s="94">
        <f>+SUM(G102+G90-G63)</f>
        <v>70</v>
      </c>
      <c r="H103" s="95"/>
      <c r="I103" s="94">
        <f>+SUM(I102+I90-I63)</f>
        <v>100</v>
      </c>
      <c r="J103" s="95"/>
      <c r="K103" s="94">
        <f>+SUM(K102+K90-K63)</f>
        <v>10</v>
      </c>
      <c r="L103" s="95"/>
      <c r="M103" s="94">
        <f>+SUM(M102+M90-M63)</f>
        <v>30</v>
      </c>
      <c r="N103" s="95"/>
    </row>
    <row r="105" spans="6:14" ht="15.75" thickBot="1">
      <c r="F105" s="98"/>
      <c r="G105" s="98"/>
      <c r="H105" s="98"/>
      <c r="I105" s="98"/>
      <c r="J105" s="98"/>
      <c r="K105" s="98"/>
      <c r="L105" s="98"/>
      <c r="M105" s="98"/>
      <c r="N105" s="98"/>
    </row>
    <row r="106" spans="6:14" ht="16.5" thickTop="1" thickBot="1">
      <c r="F106" s="13" t="s">
        <v>34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</row>
    <row r="107" spans="6:14" ht="15.75" thickTop="1">
      <c r="F107" s="14" t="s">
        <v>9</v>
      </c>
      <c r="G107" s="9"/>
      <c r="H107" s="6" t="str">
        <f>+IF(G107=1,$B$2,IF($G107=2,$B$3,IF($G107=3,$B$4,IF($G107=4,$B$5,""))))</f>
        <v/>
      </c>
      <c r="I107" s="9"/>
      <c r="J107" s="6" t="str">
        <f>+IF(I107=1,$B$2,IF($I107=2,$B$3,IF($I107=3,$B$4,IF($I107=4,$B$5,""))))</f>
        <v/>
      </c>
      <c r="K107" s="9"/>
      <c r="L107" s="6" t="str">
        <f>+IF(K107=1,$B$2,IF($K107=2,$B$3,IF($K107=3,$B$4,IF($K107=4,$B$5,""))))</f>
        <v/>
      </c>
      <c r="M107" s="9"/>
      <c r="N107" s="6" t="str">
        <f>+IF(M107=1,$B$2,IF($M107=2,$B$3,IF($M107=3,$B$4,IF($M107=4,$B$5,""))))</f>
        <v/>
      </c>
    </row>
    <row r="108" spans="6:14">
      <c r="F108" s="11" t="s">
        <v>11</v>
      </c>
      <c r="G108" s="10"/>
      <c r="H108" s="5" t="str">
        <f>+IF(G108=1,$D$2,IF($G108=2,$D$3,IF($G108=3,$D$4,IF($G108=4,$D$5,""))))</f>
        <v/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"/>
      <c r="N108" s="5" t="str">
        <f>+IF(M108=1,$D$2,IF($M108=2,$D$3,IF($M108=3,$D$4,IF($M108=4,$D$5,""))))</f>
        <v/>
      </c>
    </row>
    <row r="109" spans="6:14">
      <c r="F109" s="11" t="s">
        <v>13</v>
      </c>
      <c r="G109" s="10"/>
      <c r="H109" s="5"/>
      <c r="I109" s="10"/>
      <c r="J109" s="5"/>
      <c r="K109" s="10"/>
      <c r="L109" s="5"/>
      <c r="M109" s="10"/>
      <c r="N109" s="5"/>
    </row>
    <row r="110" spans="6:14">
      <c r="F110" s="11" t="s">
        <v>14</v>
      </c>
      <c r="G110" s="10"/>
      <c r="H110" s="5"/>
      <c r="I110" s="10"/>
      <c r="J110" s="5"/>
      <c r="K110" s="10"/>
      <c r="L110" s="5"/>
      <c r="M110" s="10"/>
      <c r="N110" s="5"/>
    </row>
    <row r="111" spans="6:14">
      <c r="F111" s="11" t="s">
        <v>16</v>
      </c>
      <c r="G111" s="10"/>
      <c r="H111" s="5"/>
      <c r="I111" s="10"/>
      <c r="J111" s="5"/>
      <c r="K111" s="10"/>
      <c r="L111" s="5"/>
      <c r="M111" s="10"/>
      <c r="N111" s="5"/>
    </row>
    <row r="112" spans="6:14" ht="15.75" thickBot="1">
      <c r="F112" s="12" t="s">
        <v>17</v>
      </c>
      <c r="G112" s="99"/>
      <c r="H112" s="100">
        <f>+SUM(H107:H111)</f>
        <v>0</v>
      </c>
      <c r="I112" s="99"/>
      <c r="J112" s="100">
        <f>+SUM(J107:J111)</f>
        <v>0</v>
      </c>
      <c r="K112" s="99"/>
      <c r="L112" s="100">
        <f>+SUM(L107:L111)</f>
        <v>0</v>
      </c>
      <c r="M112" s="99"/>
      <c r="N112" s="100">
        <f>+SUM(N107:N111)</f>
        <v>0</v>
      </c>
    </row>
    <row r="113" spans="6:14" ht="15.75" thickTop="1">
      <c r="F113" s="1"/>
      <c r="G113" s="1"/>
      <c r="H113" s="1"/>
      <c r="I113" s="1"/>
      <c r="J113" s="1"/>
      <c r="K113" s="1"/>
      <c r="L113" s="1"/>
      <c r="M113" s="1"/>
      <c r="N113" s="1"/>
    </row>
    <row r="114" spans="6:14">
      <c r="F114" s="7" t="s">
        <v>19</v>
      </c>
      <c r="G114" s="96">
        <f>H112</f>
        <v>0</v>
      </c>
      <c r="H114" s="97"/>
      <c r="I114" s="96">
        <f>J112</f>
        <v>0</v>
      </c>
      <c r="J114" s="97"/>
      <c r="K114" s="96">
        <f>L112</f>
        <v>0</v>
      </c>
      <c r="L114" s="97"/>
      <c r="M114" s="96">
        <f>N112</f>
        <v>0</v>
      </c>
      <c r="N114" s="97"/>
    </row>
    <row r="115" spans="6:14">
      <c r="F115" s="7" t="s">
        <v>12</v>
      </c>
      <c r="G115" s="94" t="str">
        <f>+IF($G107=1,40,IF($G107=2,20,IF($G107=3,10,IF($G107=4,0,""))))</f>
        <v/>
      </c>
      <c r="H115" s="95"/>
      <c r="I115" s="94" t="str">
        <f>+IF($I107=1,40,IF($I107=2,20,IF($I107=3,10,IF($I107=4,0,""))))</f>
        <v/>
      </c>
      <c r="J115" s="95"/>
      <c r="K115" s="96"/>
      <c r="L115" s="97"/>
      <c r="M115" s="96"/>
      <c r="N115" s="97"/>
    </row>
    <row r="116" spans="6:14">
      <c r="F116" s="15" t="s">
        <v>20</v>
      </c>
      <c r="G116" s="94" t="e">
        <f>+SUM(G115+G103-G76)</f>
        <v>#VALUE!</v>
      </c>
      <c r="H116" s="95"/>
      <c r="I116" s="94" t="e">
        <f>+SUM(I115+I103-I76)</f>
        <v>#VALUE!</v>
      </c>
      <c r="J116" s="95"/>
      <c r="K116" s="96" t="str">
        <f>+IF($K107=1,"40Kg",IF($K107=2,"20Kg",IF($K107=3,"10Kg",IF($K107=4,"0Kg",""))))</f>
        <v/>
      </c>
      <c r="L116" s="97"/>
      <c r="M116" s="96" t="str">
        <f>+IF($M107=1,"40Kg",IF($M107=2,"20Kg",IF($M107=3,"10Kg",IF($M107=4,"0Kg",""))))</f>
        <v/>
      </c>
      <c r="N116" s="97"/>
    </row>
    <row r="118" spans="6:14" ht="15.75" thickBot="1">
      <c r="F118" s="98"/>
      <c r="G118" s="98"/>
      <c r="H118" s="98"/>
      <c r="I118" s="98"/>
      <c r="J118" s="98"/>
      <c r="K118" s="98"/>
      <c r="L118" s="98"/>
      <c r="M118" s="98"/>
      <c r="N118" s="98"/>
    </row>
    <row r="119" spans="6:14" ht="16.5" thickTop="1" thickBot="1">
      <c r="F119" s="13" t="s">
        <v>35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</row>
    <row r="120" spans="6:14" ht="15.75" thickTop="1">
      <c r="F120" s="14" t="s">
        <v>9</v>
      </c>
      <c r="G120" s="9"/>
      <c r="H120" s="6" t="str">
        <f>+IF(G120=1,$B$2,IF($G120=2,$B$3,IF($G120=3,$B$4,IF($G120=4,$B$5,""))))</f>
        <v/>
      </c>
      <c r="I120" s="9"/>
      <c r="J120" s="6" t="str">
        <f>+IF(I120=1,$B$2,IF($I120=2,$B$3,IF($I120=3,$B$4,IF($I120=4,$B$5,""))))</f>
        <v/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</row>
    <row r="121" spans="6:14">
      <c r="F121" s="11" t="s">
        <v>11</v>
      </c>
      <c r="G121" s="10"/>
      <c r="H121" s="5" t="str">
        <f>+IF(G121=1,$D$2,IF($G121=2,$D$3,IF($G121=3,$D$4,IF($G121=4,$D$5,""))))</f>
        <v/>
      </c>
      <c r="I121" s="10"/>
      <c r="J121" s="5" t="str">
        <f>+IF(I121=1,$D$2,IF($I121=2,$D$3,IF($I121=3,$D$4,IF($I121=4,$D$5,""))))</f>
        <v/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</row>
    <row r="122" spans="6:14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</row>
    <row r="123" spans="6:14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</row>
    <row r="124" spans="6:14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</row>
    <row r="125" spans="6:14" ht="15.75" thickBot="1">
      <c r="F125" s="12" t="s">
        <v>17</v>
      </c>
      <c r="G125" s="99"/>
      <c r="H125" s="100">
        <f>+SUM(H120:H124)</f>
        <v>0</v>
      </c>
      <c r="I125" s="99"/>
      <c r="J125" s="100">
        <f>+SUM(J120:J124)</f>
        <v>0</v>
      </c>
      <c r="K125" s="99"/>
      <c r="L125" s="100">
        <f>+SUM(L120:L124)</f>
        <v>0</v>
      </c>
      <c r="M125" s="99"/>
      <c r="N125" s="100">
        <f>+SUM(N120:N124)</f>
        <v>0</v>
      </c>
    </row>
    <row r="126" spans="6:14" ht="15.75" thickTop="1">
      <c r="F126" s="1"/>
      <c r="G126" s="1"/>
      <c r="H126" s="1"/>
      <c r="I126" s="1"/>
      <c r="J126" s="1"/>
      <c r="K126" s="1"/>
      <c r="L126" s="1"/>
      <c r="M126" s="1"/>
      <c r="N126" s="1"/>
    </row>
    <row r="127" spans="6:14">
      <c r="F127" s="7" t="s">
        <v>19</v>
      </c>
      <c r="G127" s="96">
        <f>H125</f>
        <v>0</v>
      </c>
      <c r="H127" s="97"/>
      <c r="I127" s="96">
        <f>J125</f>
        <v>0</v>
      </c>
      <c r="J127" s="97"/>
      <c r="K127" s="96">
        <f>L125</f>
        <v>0</v>
      </c>
      <c r="L127" s="97"/>
      <c r="M127" s="96">
        <f>N125</f>
        <v>0</v>
      </c>
      <c r="N127" s="97"/>
    </row>
    <row r="128" spans="6:14">
      <c r="F128" s="7" t="s">
        <v>12</v>
      </c>
      <c r="G128" s="94" t="str">
        <f>+IF($G120=1,40,IF($G120=2,20,IF($G120=3,10,IF($G120=4,0,""))))</f>
        <v/>
      </c>
      <c r="H128" s="95"/>
      <c r="I128" s="94" t="str">
        <f>+IF($I120=1,40,IF($I120=2,20,IF($I120=3,10,IF($I120=4,0,""))))</f>
        <v/>
      </c>
      <c r="J128" s="95"/>
      <c r="K128" s="96"/>
      <c r="L128" s="97"/>
      <c r="M128" s="96"/>
      <c r="N128" s="97"/>
    </row>
    <row r="129" spans="6:14">
      <c r="F129" s="15" t="s">
        <v>20</v>
      </c>
      <c r="G129" s="94" t="e">
        <f>+SUM(G128+G116-G89)</f>
        <v>#VALUE!</v>
      </c>
      <c r="H129" s="95"/>
      <c r="I129" s="94" t="e">
        <f>+SUM(I128+I116-I89)</f>
        <v>#VALUE!</v>
      </c>
      <c r="J129" s="95"/>
      <c r="K129" s="96" t="str">
        <f>+IF($K120=1,"40Kg",IF($K120=2,"20Kg",IF($K120=3,"10Kg",IF($K120=4,"0Kg",""))))</f>
        <v/>
      </c>
      <c r="L129" s="97"/>
      <c r="M129" s="96" t="str">
        <f>+IF($M120=1,"40Kg",IF($M120=2,"20Kg",IF($M120=3,"10Kg",IF($M120=4,"0Kg",""))))</f>
        <v/>
      </c>
      <c r="N129" s="97"/>
    </row>
  </sheetData>
  <mergeCells count="176"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topLeftCell="I1" zoomScaleNormal="100" workbookViewId="0">
      <selection activeCell="L5" sqref="L5"/>
    </sheetView>
  </sheetViews>
  <sheetFormatPr defaultColWidth="11.42578125" defaultRowHeight="15"/>
  <cols>
    <col min="1" max="4" width="11.42578125" hidden="1" customWidth="1"/>
    <col min="5" max="5" width="11.42578125" customWidth="1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36</v>
      </c>
      <c r="B1" s="22" t="s">
        <v>37</v>
      </c>
      <c r="C1" s="23" t="s">
        <v>38</v>
      </c>
      <c r="D1" s="1"/>
      <c r="E1" s="1"/>
      <c r="F1" s="1"/>
      <c r="G1" s="29"/>
      <c r="H1" s="34"/>
      <c r="I1" s="35" t="s">
        <v>36</v>
      </c>
      <c r="J1" s="35" t="s">
        <v>37</v>
      </c>
      <c r="K1" s="36" t="s">
        <v>38</v>
      </c>
      <c r="L1" s="29"/>
      <c r="M1" s="50" t="s">
        <v>39</v>
      </c>
      <c r="N1" s="51" t="s">
        <v>40</v>
      </c>
      <c r="O1" s="52" t="s">
        <v>41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+SUM(Hoja1!$G8,Hoja1!$G21,Hoja1!$G34,Hoja1!$G47,Hoja1!$G60,Hoja1!G73,Hoja1!G86)</f>
        <v>247.75</v>
      </c>
      <c r="C2" s="25">
        <f>INDEX(Hoja1!$G$1:$G$250, (COUNTIF(DATOS!$J$4:$S$4, "&gt;0")-1)*13 + 12)</f>
        <v>70</v>
      </c>
      <c r="D2" s="1">
        <f>_xlfn.RANK.EQ(B2, $B$2:$B$5) + COUNTIF($B$2:B2, B2) - 1</f>
        <v>2</v>
      </c>
      <c r="E2" s="1">
        <f>+AVERAGEIF(DATOS!C$3:C$22, "&gt;0")</f>
        <v>1.9375</v>
      </c>
      <c r="F2" s="1"/>
      <c r="G2" s="29"/>
      <c r="H2" s="30">
        <v>1</v>
      </c>
      <c r="I2" s="31" t="str">
        <f>INDEX($A$2:$A$5, MATCH(H2, $D$2:$D$5, 0))</f>
        <v>Pablo</v>
      </c>
      <c r="J2" s="31">
        <f>INDEX($B$2:$B$5, MATCH(H2, $D$2:$D$5, 0))</f>
        <v>248.75</v>
      </c>
      <c r="K2" s="43">
        <f>INDEX($C$2:$C$5, MATCH(H2, $D$2:$D$5, 0))</f>
        <v>100</v>
      </c>
      <c r="L2" s="29"/>
      <c r="M2" s="47">
        <f>INDEX($E$2:$E$5, MATCH(I2, $A$2:$A$5, 0))</f>
        <v>1.875</v>
      </c>
      <c r="N2" s="48">
        <f>J2 / (COUNTIFS(DATOS!D3:D22, "&gt;0",DATOS!$B$3:$B$22, "CARRERA 1") * 46.75)</f>
        <v>0.6651069518716578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+SUM(Hoja1!$I8,Hoja1!$I21,Hoja1!$I34,Hoja1!$I47,Hoja1!$I60,Hoja1!I73,Hoja1!I86)</f>
        <v>248.75</v>
      </c>
      <c r="C3" s="25">
        <f>INDEX(Hoja1!$I$1:$I$250, (COUNTIF(DATOS!$J$5:$S$5, "&gt;0")-1)*13 + 12)</f>
        <v>100</v>
      </c>
      <c r="D3" s="1">
        <f>_xlfn.RANK.EQ(B3, $B$2:$B$5) + COUNTIF($B$2:B3, B3) - 1</f>
        <v>1</v>
      </c>
      <c r="E3" s="1">
        <f>+AVERAGEIF(DATOS!D$3:D$22, "&gt;0")</f>
        <v>1.875</v>
      </c>
      <c r="F3" s="1"/>
      <c r="G3" s="29"/>
      <c r="H3" s="30">
        <v>2</v>
      </c>
      <c r="I3" s="31" t="str">
        <f t="shared" ref="I3:I5" si="0">INDEX($A$2:$A$5, MATCH(H3, $D$2:$D$5, 0))</f>
        <v>Agus</v>
      </c>
      <c r="J3" s="31">
        <f t="shared" ref="J3:J5" si="1">INDEX($B$2:$B$5, MATCH(H3, $D$2:$D$5, 0))</f>
        <v>247.75</v>
      </c>
      <c r="K3" s="43">
        <f t="shared" ref="K3:K5" si="2">INDEX($C$2:$C$5, MATCH(H3, $D$2:$D$5, 0))</f>
        <v>70</v>
      </c>
      <c r="L3" s="29"/>
      <c r="M3" s="45">
        <f>INDEX($E$2:$E$5, MATCH(I3, $A$2:$A$5, 0))</f>
        <v>1.9375</v>
      </c>
      <c r="N3" s="39">
        <f>J3 / (COUNTIFS(DATOS!D3:D22, "&gt;0",DATOS!$B$3:$B$22, "CARRERA 1") * 46.75)</f>
        <v>0.66243315508021394</v>
      </c>
      <c r="O3" s="41">
        <f>+SUM(DATOS!C27:C46)</f>
        <v>6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+SUM(Hoja1!K8,Hoja1!K21,Hoja1!K34,Hoja1!K47,Hoja1!K60,Hoja1!K73,Hoja1!K86)</f>
        <v>169.75</v>
      </c>
      <c r="C4" s="25">
        <f>INDEX(Hoja1!$K$1:$K$250, (COUNTIF(DATOS!$J$6:$S$6, "&gt;0")-1)*13 + 12)</f>
        <v>10</v>
      </c>
      <c r="D4" s="1">
        <f>_xlfn.RANK.EQ(B4, $B$2:$B$5) + COUNTIF($B$2:B4, B4) - 1</f>
        <v>4</v>
      </c>
      <c r="E4" s="1">
        <f>+AVERAGEIF(DATOS!E$3:E$22, "&gt;0")</f>
        <v>3.4375</v>
      </c>
      <c r="F4" s="1"/>
      <c r="G4" s="29"/>
      <c r="H4" s="30">
        <v>3</v>
      </c>
      <c r="I4" s="31" t="str">
        <f t="shared" si="0"/>
        <v>Eze</v>
      </c>
      <c r="J4" s="31">
        <f t="shared" si="1"/>
        <v>212.25</v>
      </c>
      <c r="K4" s="43">
        <f t="shared" si="2"/>
        <v>30</v>
      </c>
      <c r="L4" s="1"/>
      <c r="M4" s="45">
        <f>INDEX($E$2:$E$5, MATCH(I4, $A$2:$A$5, 0))</f>
        <v>2.75</v>
      </c>
      <c r="N4" s="39">
        <f>J4 / (COUNTIFS(DATOS!E3:E22, "&gt;0",DATOS!$B$3:$B$22, "CARRERA 1") * 46.75)</f>
        <v>0.56751336898395721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+SUM(Hoja1!M8,Hoja1!M21,Hoja1!M34,Hoja1!M47,Hoja1!M60,Hoja1!M73,Hoja1!M86)</f>
        <v>212.25</v>
      </c>
      <c r="C5" s="26">
        <f>INDEX(Hoja1!$M$1:$M$250, (COUNTIF(DATOS!$J$7:$S$7, "&gt;0")-1)*13 + 12)</f>
        <v>30</v>
      </c>
      <c r="D5" s="1">
        <f>_xlfn.RANK.EQ(B5, $B$2:$B$5) + COUNTIF($B$2:B5, B5) - 1</f>
        <v>3</v>
      </c>
      <c r="E5" s="1">
        <f>+AVERAGEIF(DATOS!F$3:F$22, "&gt;0")</f>
        <v>2.75</v>
      </c>
      <c r="F5" s="1"/>
      <c r="G5" s="29"/>
      <c r="H5" s="32">
        <v>4</v>
      </c>
      <c r="I5" s="33" t="str">
        <f t="shared" si="0"/>
        <v>Juandi</v>
      </c>
      <c r="J5" s="33">
        <f t="shared" si="1"/>
        <v>169.75</v>
      </c>
      <c r="K5" s="44">
        <f t="shared" si="2"/>
        <v>10</v>
      </c>
      <c r="L5" s="29"/>
      <c r="M5" s="46">
        <f>INDEX($E$2:$E$5, MATCH(I5, $A$2:$A$5, 0))</f>
        <v>3.4375</v>
      </c>
      <c r="N5" s="40">
        <f>J5 / (COUNTIFS(DATOS!F3:F22, "&gt;0",DATOS!$B$3:$B$22, "CARRERA 1") * 46.75)</f>
        <v>0.45387700534759357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42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zoomScaleNormal="100" workbookViewId="0">
      <selection activeCell="Q10" sqref="Q10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</row>
    <row r="2" spans="1:19">
      <c r="A2" s="101" t="s">
        <v>44</v>
      </c>
      <c r="B2" s="101"/>
      <c r="C2" s="1" t="s">
        <v>45</v>
      </c>
      <c r="D2" s="1" t="s">
        <v>46</v>
      </c>
      <c r="E2" s="1" t="s">
        <v>47</v>
      </c>
      <c r="F2" s="1" t="s">
        <v>48</v>
      </c>
      <c r="G2" s="1"/>
      <c r="H2" s="1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</row>
    <row r="3" spans="1:19">
      <c r="A3" s="104" t="s">
        <v>2</v>
      </c>
      <c r="B3" s="1" t="s">
        <v>49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50</v>
      </c>
      <c r="K3" s="1" t="s">
        <v>51</v>
      </c>
      <c r="L3" s="1" t="s">
        <v>52</v>
      </c>
      <c r="M3" s="1" t="s">
        <v>53</v>
      </c>
      <c r="N3" s="1" t="s">
        <v>54</v>
      </c>
      <c r="O3" s="1" t="s">
        <v>55</v>
      </c>
      <c r="P3" s="1" t="s">
        <v>56</v>
      </c>
      <c r="Q3" s="1" t="s">
        <v>57</v>
      </c>
      <c r="R3" s="1" t="s">
        <v>58</v>
      </c>
      <c r="S3" s="1" t="s">
        <v>59</v>
      </c>
    </row>
    <row r="4" spans="1:19">
      <c r="A4" s="104"/>
      <c r="B4" s="1" t="s">
        <v>60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45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 t="e">
        <f>IF(INDEX(Hoja1!$G$1:$G$250, (COLUMN(I1)-1)*13 + 10)=0, NA(), INDEX(Hoja1!$G$1:$G$250, (COLUMN(I1)-1)*13 + 10))</f>
        <v>#N/A</v>
      </c>
      <c r="S4" s="1" t="e">
        <f>IF(INDEX(Hoja1!$G$1:$G$250, (COLUMN(J1)-1)*13 + 10)=0, NA(), INDEX(Hoja1!$G$1:$G$250, (COLUMN(J1)-1)*13 + 10))</f>
        <v>#N/A</v>
      </c>
    </row>
    <row r="5" spans="1:19">
      <c r="A5" s="104" t="s">
        <v>15</v>
      </c>
      <c r="B5" s="1" t="s">
        <v>49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46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 t="e">
        <f>IF(INDEX(Hoja1!$I$1:$I$250, (COLUMN(I1)-1)*13 + 10)=0, NA(), INDEX(Hoja1!$I$1:$I$250, (COLUMN(I1)-1)*13 + 10))</f>
        <v>#N/A</v>
      </c>
      <c r="S5" s="1" t="e">
        <f>IF(INDEX(Hoja1!$I$1:$I$250, (COLUMN(J1)-1)*13 + 10)=0, NA(), INDEX(Hoja1!$I$1:$I$250, (COLUMN(J1)-1)*13 + 10))</f>
        <v>#N/A</v>
      </c>
    </row>
    <row r="6" spans="1:19">
      <c r="A6" s="104"/>
      <c r="B6" s="1" t="s">
        <v>60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47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169.75</v>
      </c>
      <c r="Q6" s="1">
        <f>IF(INDEX(Hoja1!$K$1:$K$250, (COLUMN(H1)-1)*13 + 10)=0, NA(), INDEX(Hoja1!$K$1:$K$250, (COLUMN(H1)-1)*13 + 10))</f>
        <v>196</v>
      </c>
      <c r="R6" s="1" t="e">
        <f>IF(INDEX(Hoja1!$K$1:$K$250, (COLUMN(I1)-1)*13 + 10)=0, NA(), INDEX(Hoja1!$K$1:$K$250, (COLUMN(I1)-1)*13 + 10))</f>
        <v>#N/A</v>
      </c>
      <c r="S6" s="1" t="e">
        <f>IF(INDEX(Hoja1!$K$1:$K$250, (COLUMN(J1)-1)*13 + 10)=0, NA(), INDEX(Hoja1!$K$1:$K$250, (COLUMN(J1)-1)*13 + 10))</f>
        <v>#N/A</v>
      </c>
    </row>
    <row r="7" spans="1:19">
      <c r="A7" s="104" t="s">
        <v>18</v>
      </c>
      <c r="B7" s="1" t="s">
        <v>49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48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212.25</v>
      </c>
      <c r="Q7" s="1">
        <f>IF(INDEX(Hoja1!$M$1:$M$250, (COLUMN(H1)-1)*13 + 10)=0, NA(), INDEX(Hoja1!$M$1:$M$250, (COLUMN(H1)-1)*13 + 10))</f>
        <v>233.25</v>
      </c>
      <c r="R7" s="1" t="e">
        <f>IF(INDEX(Hoja1!$M$1:$M$250, (COLUMN(I1)-1)*13 + 10)=0, NA(), INDEX(Hoja1!$M$1:$M$250, (COLUMN(I1)-1)*13 + 10))</f>
        <v>#N/A</v>
      </c>
      <c r="S7" s="1" t="e">
        <f>IF(INDEX(Hoja1!$M$1:$M$250, (COLUMN(J1)-1)*13 + 10)=0, NA(), INDEX(Hoja1!$M$1:$M$250, (COLUMN(J1)-1)*13 + 10))</f>
        <v>#N/A</v>
      </c>
    </row>
    <row r="8" spans="1:19">
      <c r="A8" s="104"/>
      <c r="B8" s="1" t="s">
        <v>60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04" t="s">
        <v>21</v>
      </c>
      <c r="B9" s="1" t="s">
        <v>49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04"/>
      <c r="B10" s="1" t="s">
        <v>60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04" t="s">
        <v>61</v>
      </c>
      <c r="B11" s="1" t="s">
        <v>49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04"/>
      <c r="B12" s="1" t="s">
        <v>60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04" t="s">
        <v>62</v>
      </c>
      <c r="B13" s="1" t="s">
        <v>49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04"/>
      <c r="B14" s="1" t="s">
        <v>60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04" t="s">
        <v>63</v>
      </c>
      <c r="B15" s="1" t="s">
        <v>49</v>
      </c>
      <c r="C15" s="1">
        <f>Hoja1!G81</f>
        <v>1</v>
      </c>
      <c r="D15" s="1">
        <f>Hoja1!I81</f>
        <v>2</v>
      </c>
      <c r="E15" s="1">
        <f>Hoja1!K81</f>
        <v>4</v>
      </c>
      <c r="F15" s="1">
        <f>Hoja1!M81</f>
        <v>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04"/>
      <c r="B16" s="1" t="s">
        <v>60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04"/>
      <c r="B17" s="1" t="s">
        <v>49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04"/>
      <c r="B18" s="1" t="s">
        <v>60</v>
      </c>
      <c r="C18" s="1">
        <f>Hoja1!G95</f>
        <v>1</v>
      </c>
      <c r="D18" s="1">
        <f>Hoja1!I95</f>
        <v>2</v>
      </c>
      <c r="E18" s="1">
        <f>Hoja1!K95</f>
        <v>3</v>
      </c>
      <c r="F18" s="1">
        <f>Hoja1!M95</f>
        <v>4</v>
      </c>
      <c r="G18" s="1"/>
    </row>
    <row r="19" spans="1:7">
      <c r="A19" s="104"/>
      <c r="B19" s="1" t="s">
        <v>49</v>
      </c>
      <c r="C19" s="1">
        <f>Hoja1!G109</f>
        <v>0</v>
      </c>
      <c r="D19" s="1">
        <f>Hoja1!I109</f>
        <v>0</v>
      </c>
      <c r="E19" s="1">
        <f>Hoja1!K109</f>
        <v>0</v>
      </c>
      <c r="F19" s="1">
        <f>Hoja1!M109</f>
        <v>0</v>
      </c>
      <c r="G19" s="1"/>
    </row>
    <row r="20" spans="1:7">
      <c r="A20" s="104"/>
      <c r="B20" s="1" t="s">
        <v>60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04"/>
      <c r="B21" s="1" t="s">
        <v>49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04"/>
      <c r="B22" s="1" t="s">
        <v>60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64</v>
      </c>
      <c r="B24" s="1"/>
      <c r="C24" s="1">
        <f>+COUNTIF(C3:C22,1)</f>
        <v>6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01" t="s">
        <v>41</v>
      </c>
      <c r="B25" s="101"/>
      <c r="C25" s="101"/>
      <c r="D25" s="101"/>
      <c r="E25" s="101"/>
      <c r="F25" s="101"/>
      <c r="G25" s="1"/>
    </row>
    <row r="26" spans="1:7">
      <c r="A26" s="101" t="s">
        <v>44</v>
      </c>
      <c r="B26" s="101"/>
      <c r="C26" s="93" t="s">
        <v>45</v>
      </c>
      <c r="D26" s="93" t="s">
        <v>46</v>
      </c>
      <c r="E26" s="93" t="s">
        <v>47</v>
      </c>
      <c r="F26" s="93" t="s">
        <v>48</v>
      </c>
      <c r="G26" s="1"/>
    </row>
    <row r="27" spans="1:7">
      <c r="A27" s="104" t="s">
        <v>2</v>
      </c>
      <c r="B27" s="104" t="s">
        <v>65</v>
      </c>
      <c r="C27" s="101">
        <f>Hoja1!H5</f>
        <v>1</v>
      </c>
      <c r="D27" s="101">
        <f>Hoja1!J5</f>
        <v>0</v>
      </c>
      <c r="E27" s="101">
        <f>Hoja1!L5</f>
        <v>0</v>
      </c>
      <c r="F27" s="101">
        <f>Hoja1!N5</f>
        <v>0</v>
      </c>
      <c r="G27" s="101"/>
    </row>
    <row r="28" spans="1:7">
      <c r="A28" s="104"/>
      <c r="B28" s="104"/>
      <c r="C28" s="101"/>
      <c r="D28" s="101"/>
      <c r="E28" s="101"/>
      <c r="F28" s="101"/>
      <c r="G28" s="101"/>
    </row>
    <row r="29" spans="1:7">
      <c r="A29" s="104" t="s">
        <v>15</v>
      </c>
      <c r="B29" s="104" t="s">
        <v>65</v>
      </c>
      <c r="C29" s="101">
        <f>Hoja1!H18</f>
        <v>0</v>
      </c>
      <c r="D29" s="101">
        <f>Hoja1!J18</f>
        <v>1</v>
      </c>
      <c r="E29" s="101">
        <f>Hoja1!L18</f>
        <v>0</v>
      </c>
      <c r="F29" s="101">
        <f>Hoja1!N18</f>
        <v>0</v>
      </c>
      <c r="G29" s="101"/>
    </row>
    <row r="30" spans="1:7">
      <c r="A30" s="104"/>
      <c r="B30" s="104"/>
      <c r="C30" s="101"/>
      <c r="D30" s="101"/>
      <c r="E30" s="101"/>
      <c r="F30" s="101"/>
      <c r="G30" s="101"/>
    </row>
    <row r="31" spans="1:7">
      <c r="A31" s="104" t="s">
        <v>18</v>
      </c>
      <c r="B31" s="104" t="s">
        <v>65</v>
      </c>
      <c r="C31" s="101">
        <f>Hoja1!H31</f>
        <v>0</v>
      </c>
      <c r="D31" s="101">
        <f>Hoja1!J31</f>
        <v>1</v>
      </c>
      <c r="E31" s="101">
        <f>Hoja1!L31</f>
        <v>0</v>
      </c>
      <c r="F31" s="101">
        <f>Hoja1!N31</f>
        <v>0</v>
      </c>
      <c r="G31" s="101"/>
    </row>
    <row r="32" spans="1:7">
      <c r="A32" s="104"/>
      <c r="B32" s="104"/>
      <c r="C32" s="101"/>
      <c r="D32" s="101"/>
      <c r="E32" s="101"/>
      <c r="F32" s="101"/>
      <c r="G32" s="101"/>
    </row>
    <row r="33" spans="1:7">
      <c r="A33" s="104" t="s">
        <v>21</v>
      </c>
      <c r="B33" s="104" t="s">
        <v>65</v>
      </c>
      <c r="C33" s="101">
        <f>Hoja1!H44</f>
        <v>1</v>
      </c>
      <c r="D33" s="101">
        <f>Hoja1!J44</f>
        <v>0</v>
      </c>
      <c r="E33" s="101">
        <f>Hoja1!L44</f>
        <v>0</v>
      </c>
      <c r="F33" s="101">
        <f>Hoja1!N44</f>
        <v>0</v>
      </c>
      <c r="G33" s="101"/>
    </row>
    <row r="34" spans="1:7">
      <c r="A34" s="104"/>
      <c r="B34" s="104"/>
      <c r="C34" s="101"/>
      <c r="D34" s="101"/>
      <c r="E34" s="101"/>
      <c r="F34" s="101"/>
      <c r="G34" s="101"/>
    </row>
    <row r="35" spans="1:7">
      <c r="A35" s="104" t="s">
        <v>61</v>
      </c>
      <c r="B35" s="104" t="s">
        <v>65</v>
      </c>
      <c r="C35" s="101">
        <f>Hoja1!H57</f>
        <v>1</v>
      </c>
      <c r="D35" s="101">
        <f>Hoja1!J57</f>
        <v>0</v>
      </c>
      <c r="E35" s="101">
        <f>Hoja1!L57</f>
        <v>0</v>
      </c>
      <c r="F35" s="101">
        <f>Hoja1!N57</f>
        <v>0</v>
      </c>
      <c r="G35" s="101"/>
    </row>
    <row r="36" spans="1:7">
      <c r="A36" s="104"/>
      <c r="B36" s="104"/>
      <c r="C36" s="101"/>
      <c r="D36" s="101"/>
      <c r="E36" s="101"/>
      <c r="F36" s="101"/>
      <c r="G36" s="101"/>
    </row>
    <row r="37" spans="1:7">
      <c r="A37" s="104" t="s">
        <v>62</v>
      </c>
      <c r="B37" s="104" t="s">
        <v>65</v>
      </c>
      <c r="C37" s="101">
        <f>Hoja1!H70</f>
        <v>1</v>
      </c>
      <c r="D37" s="101">
        <f>Hoja1!J70</f>
        <v>0</v>
      </c>
      <c r="E37" s="101">
        <f>Hoja1!L70</f>
        <v>0</v>
      </c>
      <c r="F37" s="101">
        <f>Hoja1!N70</f>
        <v>0</v>
      </c>
      <c r="G37" s="101"/>
    </row>
    <row r="38" spans="1:7">
      <c r="A38" s="104"/>
      <c r="B38" s="104"/>
      <c r="C38" s="101"/>
      <c r="D38" s="101"/>
      <c r="E38" s="101"/>
      <c r="F38" s="101"/>
      <c r="G38" s="101"/>
    </row>
    <row r="39" spans="1:7">
      <c r="A39" s="104" t="s">
        <v>63</v>
      </c>
      <c r="B39" s="104" t="s">
        <v>65</v>
      </c>
      <c r="C39" s="101">
        <f>Hoja1!H83</f>
        <v>1</v>
      </c>
      <c r="D39" s="101">
        <f>Hoja1!J83</f>
        <v>0</v>
      </c>
      <c r="E39" s="101">
        <f>Hoja1!L83</f>
        <v>0</v>
      </c>
      <c r="F39" s="101">
        <f>Hoja1!N83</f>
        <v>0</v>
      </c>
      <c r="G39" s="101"/>
    </row>
    <row r="40" spans="1:7">
      <c r="A40" s="104"/>
      <c r="B40" s="104"/>
      <c r="C40" s="101"/>
      <c r="D40" s="101"/>
      <c r="E40" s="101"/>
      <c r="F40" s="101"/>
      <c r="G40" s="101"/>
    </row>
    <row r="41" spans="1:7">
      <c r="A41" s="104"/>
      <c r="B41" s="104" t="s">
        <v>65</v>
      </c>
      <c r="C41" s="101">
        <f>Hoja1!H96</f>
        <v>1</v>
      </c>
      <c r="D41" s="101">
        <f>Hoja1!J96</f>
        <v>0</v>
      </c>
      <c r="E41" s="101">
        <f>Hoja1!L96</f>
        <v>0</v>
      </c>
      <c r="F41" s="101">
        <f>Hoja1!N96</f>
        <v>0</v>
      </c>
      <c r="G41" s="101"/>
    </row>
    <row r="42" spans="1:7">
      <c r="A42" s="104"/>
      <c r="B42" s="104"/>
      <c r="C42" s="101"/>
      <c r="D42" s="101"/>
      <c r="E42" s="101"/>
      <c r="F42" s="101"/>
      <c r="G42" s="101"/>
    </row>
    <row r="43" spans="1:7">
      <c r="A43" s="104"/>
      <c r="B43" s="104" t="s">
        <v>65</v>
      </c>
      <c r="C43" s="101">
        <f>Hoja1!H109</f>
        <v>0</v>
      </c>
      <c r="D43" s="101"/>
      <c r="E43" s="101"/>
      <c r="F43" s="101"/>
      <c r="G43" s="101"/>
    </row>
    <row r="44" spans="1:7">
      <c r="A44" s="104"/>
      <c r="B44" s="104"/>
      <c r="C44" s="101"/>
      <c r="D44" s="101"/>
      <c r="E44" s="101"/>
      <c r="F44" s="101"/>
      <c r="G44" s="101"/>
    </row>
    <row r="45" spans="1:7">
      <c r="A45" s="104"/>
      <c r="B45" s="104" t="s">
        <v>65</v>
      </c>
      <c r="C45" s="101">
        <f>Hoja1!H122</f>
        <v>0</v>
      </c>
      <c r="D45" s="101"/>
      <c r="E45" s="101"/>
      <c r="F45" s="101"/>
      <c r="G45" s="101"/>
    </row>
    <row r="46" spans="1:7">
      <c r="A46" s="104"/>
      <c r="B46" s="104"/>
      <c r="C46" s="101"/>
      <c r="D46" s="101"/>
      <c r="E46" s="101"/>
      <c r="F46" s="101"/>
      <c r="G46" s="101"/>
    </row>
    <row r="47" spans="1:7">
      <c r="A47" s="1" t="s">
        <v>19</v>
      </c>
      <c r="B47" s="1"/>
      <c r="C47" s="1">
        <f>+SUM(C27:C46)</f>
        <v>6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G35:G36"/>
    <mergeCell ref="G33:G34"/>
    <mergeCell ref="G27:G28"/>
    <mergeCell ref="G29:G30"/>
    <mergeCell ref="G31:G32"/>
    <mergeCell ref="G45:G46"/>
    <mergeCell ref="G43:G44"/>
    <mergeCell ref="G41:G42"/>
    <mergeCell ref="G39:G40"/>
    <mergeCell ref="G37:G38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C37:C38"/>
    <mergeCell ref="D37:D38"/>
    <mergeCell ref="E37:E38"/>
    <mergeCell ref="F37:F38"/>
    <mergeCell ref="C39:C40"/>
    <mergeCell ref="D39:D40"/>
    <mergeCell ref="E39:E40"/>
    <mergeCell ref="F39:F40"/>
    <mergeCell ref="C33:C34"/>
    <mergeCell ref="D33:D34"/>
    <mergeCell ref="E33:E34"/>
    <mergeCell ref="F33:F34"/>
    <mergeCell ref="C35:C36"/>
    <mergeCell ref="D35:D36"/>
    <mergeCell ref="E35:E36"/>
    <mergeCell ref="F35:F36"/>
    <mergeCell ref="C29:C30"/>
    <mergeCell ref="D29:D30"/>
    <mergeCell ref="E29:E30"/>
    <mergeCell ref="F29:F30"/>
    <mergeCell ref="C31:C32"/>
    <mergeCell ref="D31:D32"/>
    <mergeCell ref="E31:E32"/>
    <mergeCell ref="F31:F32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21:A22"/>
    <mergeCell ref="A9:A10"/>
    <mergeCell ref="A13:A14"/>
    <mergeCell ref="A15:A16"/>
    <mergeCell ref="A17:A18"/>
    <mergeCell ref="A19:A2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workbookViewId="0">
      <selection activeCell="D26" sqref="D26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44</v>
      </c>
      <c r="B1" s="1" t="s">
        <v>36</v>
      </c>
      <c r="C1" s="1" t="s">
        <v>65</v>
      </c>
      <c r="D1" s="1" t="s">
        <v>66</v>
      </c>
      <c r="E1" s="1" t="s">
        <v>16</v>
      </c>
      <c r="F1" s="1" t="s">
        <v>67</v>
      </c>
      <c r="G1" s="1" t="s">
        <v>68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61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61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61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61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62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62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62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62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63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63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63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4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63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3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101"/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101"/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101"/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3</v>
      </c>
    </row>
    <row r="33" spans="1:7">
      <c r="A33" s="101"/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4</v>
      </c>
    </row>
    <row r="34" spans="1:7">
      <c r="A34" s="101"/>
      <c r="B34" s="1" t="s">
        <v>4</v>
      </c>
      <c r="C34" s="1">
        <f>INDEX(Hoja1!$A$1:$N$250, INT((ROW(A33)-1)/4)*13 + 5, CHOOSE(MOD(ROW(A33)-1,4)+1, 8, 10, 12, 14))</f>
        <v>0</v>
      </c>
      <c r="D34" s="1">
        <f>INDEX(Hoja1!$A$1:$N$250, INT((ROW(A33)-1)/4)*13 + 6, CHOOSE(MOD(ROW(A33)-1,4)+1, 8, 10, 12, 14))</f>
        <v>0</v>
      </c>
      <c r="E34" s="1">
        <f>INDEX(Hoja1!$A$1:$N$250, INT((ROW(A33)-1)/4)*13 + 7, CHOOSE(MOD(ROW(A33)-1,4)+1, 8, 10, 12, 14))</f>
        <v>0</v>
      </c>
      <c r="F34" s="1" t="str">
        <f>IF(INDEX(Hoja1!$A$1:$N$250, INT((ROW(A33)-1)/4)*13 + 3, CHOOSE(MOD(ROW(A33)-1,4)+1, 7, 9, 11, 13))=0, "", INDEX(Hoja1!$A$1:$N$250, INT((ROW(A33)-1)/4)*13 + 3, CHOOSE(MOD(ROW(A33)-1,4)+1, 7, 9, 11, 13)))</f>
        <v/>
      </c>
      <c r="G34" s="1" t="str">
        <f>IF(INDEX(Hoja1!$A$1:$N$250, INT((ROW(A33)-1)/4)*13 + 4, CHOOSE(MOD(ROW(A33)-1,4)+1, 7, 9, 11, 13))=0, "", INDEX(Hoja1!$A$1:$N$250, INT((ROW(A33)-1)/4)*13 + 4, CHOOSE(MOD(ROW(A33)-1,4)+1, 7, 9, 11, 13)))</f>
        <v/>
      </c>
    </row>
    <row r="35" spans="1:7">
      <c r="A35" s="101"/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 t="str">
        <f>IF(INDEX(Hoja1!$A$1:$N$250, INT((ROW(A34)-1)/4)*13 + 3, CHOOSE(MOD(ROW(A34)-1,4)+1, 7, 9, 11, 13))=0, "", INDEX(Hoja1!$A$1:$N$250, INT((ROW(A34)-1)/4)*13 + 3, CHOOSE(MOD(ROW(A34)-1,4)+1, 7, 9, 11, 13)))</f>
        <v/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101"/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 t="str">
        <f>IF(INDEX(Hoja1!$A$1:$N$250, INT((ROW(A35)-1)/4)*13 + 3, CHOOSE(MOD(ROW(A35)-1,4)+1, 7, 9, 11, 13))=0, "", INDEX(Hoja1!$A$1:$N$250, INT((ROW(A35)-1)/4)*13 + 3, CHOOSE(MOD(ROW(A35)-1,4)+1, 7, 9, 11, 13)))</f>
        <v/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101"/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 t="str">
        <f>IF(INDEX(Hoja1!$A$1:$N$250, INT((ROW(A36)-1)/4)*13 + 3, CHOOSE(MOD(ROW(A36)-1,4)+1, 7, 9, 11, 13))=0, "", INDEX(Hoja1!$A$1:$N$250, INT((ROW(A36)-1)/4)*13 + 3, CHOOSE(MOD(ROW(A36)-1,4)+1, 7, 9, 11, 13)))</f>
        <v/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01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01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01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01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3">
    <mergeCell ref="A30:A33"/>
    <mergeCell ref="A34:A37"/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44</v>
      </c>
      <c r="B1" s="1" t="s">
        <v>69</v>
      </c>
      <c r="C1" s="1"/>
      <c r="D1" s="1"/>
      <c r="E1" s="1"/>
      <c r="F1" s="1"/>
    </row>
    <row r="3" spans="1:6">
      <c r="A3" s="53" t="s">
        <v>70</v>
      </c>
      <c r="B3" s="93" t="s">
        <v>71</v>
      </c>
      <c r="C3" s="93" t="s">
        <v>72</v>
      </c>
      <c r="D3" s="93" t="s">
        <v>73</v>
      </c>
      <c r="E3" s="93" t="s">
        <v>74</v>
      </c>
      <c r="F3" s="1" t="s">
        <v>75</v>
      </c>
    </row>
    <row r="4" spans="1:6">
      <c r="A4" s="54" t="s">
        <v>4</v>
      </c>
      <c r="B4" s="55">
        <v>3</v>
      </c>
      <c r="C4" s="55">
        <v>2</v>
      </c>
      <c r="D4" s="56">
        <v>2.1428571428571428</v>
      </c>
      <c r="E4" s="56">
        <v>1.8571428571428572</v>
      </c>
      <c r="F4" s="55">
        <v>5</v>
      </c>
    </row>
    <row r="5" spans="1:6">
      <c r="A5" s="54" t="s">
        <v>8</v>
      </c>
      <c r="B5" s="55">
        <v>1</v>
      </c>
      <c r="C5" s="55">
        <v>1</v>
      </c>
      <c r="D5" s="56">
        <v>2.4285714285714284</v>
      </c>
      <c r="E5" s="56">
        <v>2.7142857142857144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3.4285714285714284</v>
      </c>
      <c r="E6" s="56">
        <v>3.5714285714285716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1.8571428571428572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workbookViewId="0">
      <selection activeCell="C8" sqref="C8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6</v>
      </c>
      <c r="E1" s="1" t="s">
        <v>7</v>
      </c>
      <c r="F1" s="1" t="s">
        <v>8</v>
      </c>
    </row>
    <row r="2" spans="1:11">
      <c r="A2" s="104" t="s">
        <v>2</v>
      </c>
      <c r="B2" s="1" t="s">
        <v>76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04"/>
      <c r="B3" s="1" t="s">
        <v>77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04"/>
      <c r="B4" s="1" t="s">
        <v>78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04" t="s">
        <v>15</v>
      </c>
      <c r="B5" s="1" t="s">
        <v>76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04"/>
      <c r="B6" s="1" t="s">
        <v>77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04"/>
      <c r="B7" s="1" t="s">
        <v>78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04" t="s">
        <v>18</v>
      </c>
      <c r="B8" s="1" t="s">
        <v>76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04"/>
      <c r="B9" s="1" t="s">
        <v>77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04"/>
      <c r="B10" s="1" t="s">
        <v>78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04" t="s">
        <v>21</v>
      </c>
      <c r="B11" s="1" t="s">
        <v>76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04"/>
      <c r="B12" s="1" t="s">
        <v>77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04"/>
      <c r="B13" s="1" t="s">
        <v>78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04" t="s">
        <v>61</v>
      </c>
      <c r="B14" s="1" t="s">
        <v>76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9.8536342592592599E-4</v>
      </c>
      <c r="I14" s="1" cm="1">
        <f t="array" ref="I14">IFERROR(AVERAGE(IF(($B$2:$B$46="Clasificacion")*(D$2:D$46&gt;0),D$2:D$46)),0)</f>
        <v>9.8469444444444451E-4</v>
      </c>
      <c r="J14" s="1">
        <f t="array" ref="J14">IFERROR(AVERAGE(IF(($B$2:$B$46="Clasificacion")*(E$2:E$46&gt;0),E$2:E$46)),0)</f>
        <v>1.0002633101851852E-3</v>
      </c>
      <c r="K14" s="1">
        <f t="array" ref="K14">IFERROR(AVERAGE(IF(($B$2:$B$46="Clasificacion")*(F$2:F$46&gt;0),F$2:F$46)),0)</f>
        <v>1.0084814814814815E-3</v>
      </c>
    </row>
    <row r="15" spans="1:11">
      <c r="A15" s="104"/>
      <c r="B15" s="1" t="s">
        <v>77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1.001556712962963E-3</v>
      </c>
      <c r="I15" s="1" cm="1">
        <f t="array" ref="I15">IFERROR(AVERAGE(IF(($B$2:$B$46="VR Carrera 1")*(D$2:D$46&gt;0),D$2:D$46)),0)</f>
        <v>1.004369212962963E-3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1.0111313657407406E-3</v>
      </c>
    </row>
    <row r="16" spans="1:11">
      <c r="A16" s="104"/>
      <c r="B16" s="1" t="s">
        <v>78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9.7803240740740728E-4</v>
      </c>
      <c r="I16" s="1">
        <f t="array" ref="I16">IFERROR(AVERAGE(IF(($B$2:$B$46="VR Carrera 2")*(D$2:D$46&gt;0),D$2:D$46)),0)</f>
        <v>9.7885416666666672E-4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9.8515740740740747E-4</v>
      </c>
    </row>
    <row r="17" spans="1:16">
      <c r="A17" s="104" t="s">
        <v>62</v>
      </c>
      <c r="B17" s="1" t="s">
        <v>76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04"/>
      <c r="B18" s="1" t="s">
        <v>77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04"/>
      <c r="B19" s="1" t="s">
        <v>78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04" t="s">
        <v>63</v>
      </c>
      <c r="B20" s="1" t="s">
        <v>76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04"/>
      <c r="B21" s="1" t="s">
        <v>77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04"/>
      <c r="B22" s="1" t="s">
        <v>78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04" t="s">
        <v>33</v>
      </c>
      <c r="B23" s="1"/>
      <c r="C23" s="58"/>
      <c r="D23" s="58"/>
      <c r="E23" s="58"/>
      <c r="F23" s="58"/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04"/>
      <c r="B24" s="1"/>
      <c r="C24" s="58"/>
      <c r="D24" s="58"/>
      <c r="E24" s="58"/>
      <c r="F24" s="58"/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04"/>
      <c r="B25" s="1"/>
      <c r="C25" s="58"/>
      <c r="D25" s="58"/>
      <c r="E25" s="58"/>
      <c r="F25" s="58"/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04" t="s">
        <v>34</v>
      </c>
      <c r="B26" s="1"/>
      <c r="C26" s="58"/>
      <c r="D26" s="58"/>
      <c r="E26" s="58"/>
      <c r="F26" s="58"/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04"/>
      <c r="B27" s="1"/>
      <c r="C27" s="58"/>
      <c r="D27" s="58"/>
      <c r="E27" s="58"/>
      <c r="F27" s="58"/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04"/>
      <c r="B28" s="1"/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04" t="s">
        <v>35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04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04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G22" sqref="G22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79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06" t="s">
        <v>2</v>
      </c>
      <c r="B2" s="64" t="s">
        <v>76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41</v>
      </c>
      <c r="J2" s="1">
        <f>IF('Carga Tiempos'!H14=MIN('Carga Tiempos'!$H14,'Carga Tiempos'!$I14,'Carga Tiempos'!$K14),0,'Carga Tiempos'!H14-MIN('Carga Tiempos'!$H14,'Carga Tiempos'!$I14,'Carga Tiempos'!$K14))</f>
        <v>6.6898148148148394E-7</v>
      </c>
      <c r="K2" s="1">
        <f>IF('Carga Tiempos'!I14=MIN('Carga Tiempos'!$H14,'Carga Tiempos'!$I14,'Carga Tiempos'!$K14),0,'Carga Tiempos'!I14-MIN('Carga Tiempos'!$H14,'Carga Tiempos'!$I14,'Carga Tiempos'!$K14))</f>
        <v>0</v>
      </c>
      <c r="L2" s="1">
        <f>IF('Carga Tiempos'!K14=MIN('Carga Tiempos'!$H14,'Carga Tiempos'!$I14,'Carga Tiempos'!$K14),0,'Carga Tiempos'!K14-MIN('Carga Tiempos'!$H14,'Carga Tiempos'!$I14,'Carga Tiempos'!$K14))</f>
        <v>2.3787037037037006E-5</v>
      </c>
      <c r="M2" s="1"/>
      <c r="N2" s="1"/>
      <c r="O2" s="1"/>
      <c r="P2" s="1"/>
    </row>
    <row r="3" spans="1:16">
      <c r="A3" s="107"/>
      <c r="B3" s="62" t="s">
        <v>77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49</v>
      </c>
      <c r="J3" s="1">
        <f>IF('Carga Tiempos'!H15=MIN('Carga Tiempos'!$H15,'Carga Tiempos'!$I15,'Carga Tiempos'!$K15),0,'Carga Tiempos'!H15-MIN('Carga Tiempos'!$H15,'Carga Tiempos'!$I15,'Carga Tiempos'!$K15))</f>
        <v>0</v>
      </c>
      <c r="K3" s="58">
        <f>IF('Carga Tiempos'!I15=MIN('Carga Tiempos'!$H15,'Carga Tiempos'!$I15,'Carga Tiempos'!$K15),0,'Carga Tiempos'!I15-MIN('Carga Tiempos'!$H15,'Carga Tiempos'!$I15,'Carga Tiempos'!$K15))</f>
        <v>2.8124999999999938E-6</v>
      </c>
      <c r="L3" s="1">
        <f>IF('Carga Tiempos'!K15=MIN('Carga Tiempos'!$H15,'Carga Tiempos'!$I15,'Carga Tiempos'!$K15),0,'Carga Tiempos'!K15-MIN('Carga Tiempos'!$H15,'Carga Tiempos'!$I15,'Carga Tiempos'!$K15))</f>
        <v>9.5746527777776196E-6</v>
      </c>
      <c r="M3" s="1"/>
      <c r="N3" s="1"/>
      <c r="O3" s="1"/>
      <c r="P3" s="1"/>
    </row>
    <row r="4" spans="1:16">
      <c r="A4" s="107"/>
      <c r="B4" s="62" t="s">
        <v>78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60</v>
      </c>
      <c r="J4" s="1">
        <f>IF('Carga Tiempos'!H16=MIN('Carga Tiempos'!$H16,'Carga Tiempos'!$I16,'Carga Tiempos'!$K16),0,'Carga Tiempos'!H16-MIN('Carga Tiempos'!$H16,'Carga Tiempos'!$I16,'Carga Tiempos'!$K16))</f>
        <v>0</v>
      </c>
      <c r="K4" s="1">
        <f>IF('Carga Tiempos'!I16=MIN('Carga Tiempos'!$H16,'Carga Tiempos'!$I16,'Carga Tiempos'!$K16),0,'Carga Tiempos'!I16-MIN('Carga Tiempos'!$H16,'Carga Tiempos'!$I16,'Carga Tiempos'!$K16))</f>
        <v>8.217592592594386E-7</v>
      </c>
      <c r="L4" s="1">
        <f>IF('Carga Tiempos'!K16=MIN('Carga Tiempos'!$H16,'Carga Tiempos'!$I16,'Carga Tiempos'!$K16),0,'Carga Tiempos'!K16-MIN('Carga Tiempos'!$H16,'Carga Tiempos'!$I16,'Carga Tiempos'!$K16))</f>
        <v>7.1250000000001867E-6</v>
      </c>
      <c r="M4" s="1"/>
      <c r="N4" s="1"/>
      <c r="O4" s="1"/>
      <c r="P4" s="1"/>
    </row>
    <row r="5" spans="1:16">
      <c r="A5" s="106" t="s">
        <v>15</v>
      </c>
      <c r="B5" s="64" t="s">
        <v>76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07"/>
      <c r="B6" s="62" t="s">
        <v>77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08"/>
      <c r="B7" s="66" t="s">
        <v>78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07" t="s">
        <v>18</v>
      </c>
      <c r="B8" s="64" t="s">
        <v>76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07"/>
      <c r="B9" s="62" t="s">
        <v>77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08"/>
      <c r="B10" s="66" t="s">
        <v>78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07" t="s">
        <v>21</v>
      </c>
      <c r="B11" s="64" t="s">
        <v>76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07"/>
      <c r="B12" s="62" t="s">
        <v>77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07"/>
      <c r="B13" s="62" t="s">
        <v>78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06" t="s">
        <v>61</v>
      </c>
      <c r="B14" s="64" t="s">
        <v>76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07"/>
      <c r="B15" s="62" t="s">
        <v>77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08"/>
      <c r="B16" s="66" t="s">
        <v>78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07" t="s">
        <v>62</v>
      </c>
      <c r="B17" s="62" t="s">
        <v>76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07"/>
      <c r="B18" s="62" t="s">
        <v>77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07"/>
      <c r="B19" s="62" t="s">
        <v>78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06" t="s">
        <v>63</v>
      </c>
      <c r="B20" s="64" t="s">
        <v>76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07"/>
      <c r="B21" s="62" t="s">
        <v>77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07"/>
      <c r="B22" s="62" t="s">
        <v>78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06" t="s">
        <v>33</v>
      </c>
      <c r="B23" s="64" t="s">
        <v>76</v>
      </c>
      <c r="C23" s="70">
        <f>+IF('Carga Tiempos'!C23=MIN('Carga Tiempos'!$C23:$F23),'Carga Tiempos'!C23,'Carga Tiempos'!C23-MIN('Carga Tiempos'!$C23:$F23))</f>
        <v>0</v>
      </c>
      <c r="D23" s="70">
        <f>+IF('Carga Tiempos'!D23=MIN('Carga Tiempos'!$C23:$F23),'Carga Tiempos'!D23,'Carga Tiempos'!D23-MIN('Carga Tiempos'!$C23:$F23))</f>
        <v>0</v>
      </c>
      <c r="E23" s="70">
        <f>+IF('Carga Tiempos'!E23=MIN('Carga Tiempos'!$C23:$F23),'Carga Tiempos'!E23,'Carga Tiempos'!E23-MIN('Carga Tiempos'!$C23:$F23))</f>
        <v>0</v>
      </c>
      <c r="F23" s="60">
        <f>+IF('Carga Tiempos'!F23=MIN('Carga Tiempos'!$C23:$F23),'Carga Tiempos'!F23,'Carga Tiempos'!F23-MIN('Carga Tiempos'!$C23:$F23))</f>
        <v>0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07"/>
      <c r="B24" s="62" t="s">
        <v>77</v>
      </c>
      <c r="C24" s="69">
        <f>+IF('Carga Tiempos'!C24=MIN('Carga Tiempos'!$C24:$F24),'Carga Tiempos'!C24,'Carga Tiempos'!C24-MIN('Carga Tiempos'!$C24:$F24))</f>
        <v>0</v>
      </c>
      <c r="D24" s="68">
        <f>+IF('Carga Tiempos'!D24=MIN('Carga Tiempos'!$C24:$F24),'Carga Tiempos'!D24,'Carga Tiempos'!D24-MIN('Carga Tiempos'!$C24:$F24))</f>
        <v>0</v>
      </c>
      <c r="E24" s="63">
        <f>+IF('Carga Tiempos'!E24=MIN('Carga Tiempos'!$C24:$F24),'Carga Tiempos'!E24,'Carga Tiempos'!E24-MIN('Carga Tiempos'!$C24:$F24))</f>
        <v>0</v>
      </c>
      <c r="F24" s="68">
        <f>+IF('Carga Tiempos'!F24=MIN('Carga Tiempos'!$C24:$F24),'Carga Tiempos'!F24,'Carga Tiempos'!F24-MIN('Carga Tiempos'!$C24:$F24))</f>
        <v>0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08"/>
      <c r="B25" s="66" t="s">
        <v>78</v>
      </c>
      <c r="C25" s="71">
        <f>+IF('Carga Tiempos'!C25=MIN('Carga Tiempos'!$C25:$F25),'Carga Tiempos'!C25,'Carga Tiempos'!C25-MIN('Carga Tiempos'!$C25:$F25))</f>
        <v>0</v>
      </c>
      <c r="D25" s="61">
        <f>+IF('Carga Tiempos'!D25=MIN('Carga Tiempos'!$C25:$F25),'Carga Tiempos'!D25,'Carga Tiempos'!D25-MIN('Carga Tiempos'!$C25:$F25))</f>
        <v>0</v>
      </c>
      <c r="E25" s="67">
        <f>+IF('Carga Tiempos'!E25=MIN('Carga Tiempos'!$C25:$F25),'Carga Tiempos'!E25,'Carga Tiempos'!E25-MIN('Carga Tiempos'!$C25:$F25))</f>
        <v>0</v>
      </c>
      <c r="F25" s="61">
        <f>+IF('Carga Tiempos'!F25=MIN('Carga Tiempos'!$C25:$F25),'Carga Tiempos'!F25,'Carga Tiempos'!F25-MIN('Carga Tiempos'!$C25:$F25))</f>
        <v>0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07" t="s">
        <v>34</v>
      </c>
      <c r="B26" s="62" t="s">
        <v>76</v>
      </c>
      <c r="C26" s="69">
        <f>+IF('Carga Tiempos'!C26=MIN('Carga Tiempos'!$C26:$F26),'Carga Tiempos'!C26,'Carga Tiempos'!C26-MIN('Carga Tiempos'!$C26:$F26))</f>
        <v>0</v>
      </c>
      <c r="D26" s="69">
        <f>+IF('Carga Tiempos'!D26=MIN('Carga Tiempos'!$C26:$F26),'Carga Tiempos'!D26,'Carga Tiempos'!D26-MIN('Carga Tiempos'!$C26:$F26))</f>
        <v>0</v>
      </c>
      <c r="E26" s="69">
        <f>+IF('Carga Tiempos'!E26=MIN('Carga Tiempos'!$C26:$F26),'Carga Tiempos'!E26,'Carga Tiempos'!E26-MIN('Carga Tiempos'!$C26:$F26))</f>
        <v>0</v>
      </c>
      <c r="F26" s="68">
        <f>+IF('Carga Tiempos'!F26=MIN('Carga Tiempos'!$C26:$F26),'Carga Tiempos'!F26,'Carga Tiempos'!F26-MIN('Carga Tiempos'!$C26:$F26))</f>
        <v>0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07"/>
      <c r="B27" s="62" t="s">
        <v>77</v>
      </c>
      <c r="C27" s="69">
        <f>+IF('Carga Tiempos'!C27=MIN('Carga Tiempos'!$C27:$F27),'Carga Tiempos'!C27,'Carga Tiempos'!C27-MIN('Carga Tiempos'!$C27:$F27))</f>
        <v>0</v>
      </c>
      <c r="D27" s="68">
        <f>+IF('Carga Tiempos'!D27=MIN('Carga Tiempos'!$C27:$F27),'Carga Tiempos'!D27,'Carga Tiempos'!D27-MIN('Carga Tiempos'!$C27:$F27))</f>
        <v>0</v>
      </c>
      <c r="E27" s="63">
        <f>+IF('Carga Tiempos'!E27=MIN('Carga Tiempos'!$C27:$F27),'Carga Tiempos'!E27,'Carga Tiempos'!E27-MIN('Carga Tiempos'!$C27:$F27))</f>
        <v>0</v>
      </c>
      <c r="F27" s="68">
        <f>+IF('Carga Tiempos'!F27=MIN('Carga Tiempos'!$C27:$F27),'Carga Tiempos'!F27,'Carga Tiempos'!F27-MIN('Carga Tiempos'!$C27:$F27))</f>
        <v>0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07"/>
      <c r="B28" s="62" t="s">
        <v>78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06" t="s">
        <v>35</v>
      </c>
      <c r="B29" s="64" t="s">
        <v>76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07"/>
      <c r="B30" s="62" t="s">
        <v>77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08"/>
      <c r="B31" s="66" t="s">
        <v>78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R23"/>
  <sheetViews>
    <sheetView workbookViewId="0">
      <selection activeCell="I18" sqref="I18"/>
    </sheetView>
  </sheetViews>
  <sheetFormatPr defaultRowHeight="15"/>
  <cols>
    <col min="2" max="3" width="10.140625" bestFit="1" customWidth="1"/>
    <col min="5" max="5" width="9.85546875" bestFit="1" customWidth="1"/>
    <col min="8" max="8" width="9.85546875" bestFit="1" customWidth="1"/>
    <col min="11" max="12" width="10.140625" bestFit="1" customWidth="1"/>
    <col min="18" max="18" width="9.85546875" bestFit="1" customWidth="1"/>
  </cols>
  <sheetData>
    <row r="1" spans="1:18" s="1" customFormat="1" ht="34.5">
      <c r="K1" s="111" t="s">
        <v>63</v>
      </c>
      <c r="L1" s="111"/>
      <c r="M1" s="111"/>
      <c r="N1" s="111"/>
      <c r="O1" s="111"/>
      <c r="P1" s="111"/>
      <c r="Q1" s="111"/>
      <c r="R1" s="111"/>
    </row>
    <row r="2" spans="1:18">
      <c r="A2" s="1"/>
      <c r="B2" s="1"/>
      <c r="C2" s="1"/>
      <c r="D2" s="1"/>
      <c r="E2" s="1"/>
      <c r="F2" s="1"/>
      <c r="G2" s="1"/>
      <c r="H2" s="1"/>
      <c r="I2" s="1"/>
      <c r="J2" s="1"/>
      <c r="K2" s="109" t="s">
        <v>80</v>
      </c>
      <c r="L2" s="110"/>
      <c r="M2" s="109" t="s">
        <v>81</v>
      </c>
      <c r="N2" s="110"/>
      <c r="O2" s="109" t="s">
        <v>82</v>
      </c>
      <c r="P2" s="110"/>
      <c r="Q2" s="109" t="s">
        <v>83</v>
      </c>
      <c r="R2" s="110"/>
    </row>
    <row r="3" spans="1:18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3" t="s">
        <v>84</v>
      </c>
      <c r="N3" s="84">
        <v>1.4428356481481482E-3</v>
      </c>
      <c r="O3" s="86" t="s">
        <v>84</v>
      </c>
      <c r="P3" s="77">
        <v>1.2796759259259259E-3</v>
      </c>
      <c r="Q3" s="86" t="s">
        <v>84</v>
      </c>
      <c r="R3" s="77">
        <v>1.2796759259259259E-3</v>
      </c>
    </row>
    <row r="4" spans="1:18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85</v>
      </c>
      <c r="N4" s="81">
        <v>1.2858101851851852E-3</v>
      </c>
      <c r="O4" s="83" t="s">
        <v>85</v>
      </c>
      <c r="P4" s="77">
        <v>1.2429976851851853E-3</v>
      </c>
      <c r="Q4" s="83" t="s">
        <v>85</v>
      </c>
      <c r="R4" s="77">
        <v>1.2429976851851853E-3</v>
      </c>
    </row>
    <row r="5" spans="1:18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3" t="s">
        <v>86</v>
      </c>
      <c r="N5" s="81">
        <v>1.2647453703703703E-3</v>
      </c>
      <c r="O5" s="87" t="s">
        <v>86</v>
      </c>
      <c r="P5" s="77">
        <v>1.2377777777777777E-3</v>
      </c>
      <c r="Q5" s="87" t="s">
        <v>86</v>
      </c>
      <c r="R5" s="77">
        <v>1.2377777777777777E-3</v>
      </c>
    </row>
    <row r="6" spans="1:18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87</v>
      </c>
      <c r="N6" s="81">
        <v>1.2908564814814816E-3</v>
      </c>
      <c r="O6" s="83" t="s">
        <v>87</v>
      </c>
      <c r="P6" s="77">
        <v>1.3249884259259259E-3</v>
      </c>
      <c r="Q6" s="83" t="s">
        <v>87</v>
      </c>
      <c r="R6" s="77">
        <v>1.3249884259259259E-3</v>
      </c>
    </row>
    <row r="7" spans="1:18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3" t="s">
        <v>88</v>
      </c>
      <c r="N7" s="81">
        <v>1.2742476851851851E-3</v>
      </c>
      <c r="O7" s="87" t="s">
        <v>88</v>
      </c>
      <c r="P7" s="77">
        <v>1.2426273148148149E-3</v>
      </c>
      <c r="Q7" s="87" t="s">
        <v>88</v>
      </c>
      <c r="R7" s="77">
        <v>1.2426273148148149E-3</v>
      </c>
    </row>
    <row r="8" spans="1:18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89</v>
      </c>
      <c r="N8" s="81">
        <v>1.2452199074074073E-3</v>
      </c>
      <c r="O8" s="83" t="s">
        <v>89</v>
      </c>
      <c r="P8" s="77">
        <v>1.2478472222222222E-3</v>
      </c>
      <c r="Q8" s="83" t="s">
        <v>89</v>
      </c>
      <c r="R8" s="77">
        <v>1.2478472222222222E-3</v>
      </c>
    </row>
    <row r="9" spans="1:18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90</v>
      </c>
      <c r="N9" s="81">
        <v>1.2555324074074075E-3</v>
      </c>
      <c r="O9" s="83" t="s">
        <v>90</v>
      </c>
      <c r="P9" s="77">
        <v>1.248275462962963E-3</v>
      </c>
      <c r="Q9" s="83" t="s">
        <v>90</v>
      </c>
      <c r="R9" s="77">
        <v>1.248275462962963E-3</v>
      </c>
    </row>
    <row r="10" spans="1:18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3" t="s">
        <v>91</v>
      </c>
      <c r="N10" s="81">
        <v>1.2631365740740741E-3</v>
      </c>
      <c r="O10" s="87" t="s">
        <v>91</v>
      </c>
      <c r="P10" s="77">
        <v>1.2653240740740741E-3</v>
      </c>
      <c r="Q10" s="87" t="s">
        <v>91</v>
      </c>
      <c r="R10" s="77">
        <v>1.2653240740740741E-3</v>
      </c>
    </row>
    <row r="11" spans="1:18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92</v>
      </c>
      <c r="N11" s="81">
        <v>1.4671412037037036E-3</v>
      </c>
      <c r="O11" s="83" t="s">
        <v>92</v>
      </c>
      <c r="P11" s="77">
        <v>1.6837615740740741E-3</v>
      </c>
      <c r="Q11" s="83" t="s">
        <v>92</v>
      </c>
      <c r="R11" s="77">
        <v>1.6837615740740741E-3</v>
      </c>
    </row>
    <row r="12" spans="1:18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93</v>
      </c>
      <c r="N12" s="81">
        <v>1.5160185185185185E-3</v>
      </c>
      <c r="O12" s="83" t="s">
        <v>93</v>
      </c>
      <c r="P12" s="77">
        <v>1.543287037037037E-3</v>
      </c>
      <c r="Q12" s="83" t="s">
        <v>93</v>
      </c>
      <c r="R12" s="77">
        <v>1.543287037037037E-3</v>
      </c>
    </row>
    <row r="13" spans="1:18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94</v>
      </c>
      <c r="N13" s="81">
        <v>1.9527199074074074E-3</v>
      </c>
      <c r="O13" s="83" t="s">
        <v>94</v>
      </c>
      <c r="P13" s="77">
        <v>1.9202893518518521E-3</v>
      </c>
      <c r="Q13" s="83" t="s">
        <v>94</v>
      </c>
      <c r="R13" s="77">
        <v>1.9202893518518521E-3</v>
      </c>
    </row>
    <row r="14" spans="1:18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95</v>
      </c>
      <c r="N14" s="81">
        <v>1.2462037037037036E-3</v>
      </c>
      <c r="O14" s="83" t="s">
        <v>95</v>
      </c>
      <c r="P14" s="77">
        <v>1.2480787037037037E-3</v>
      </c>
      <c r="Q14" s="83" t="s">
        <v>95</v>
      </c>
      <c r="R14" s="77">
        <v>1.2480787037037037E-3</v>
      </c>
    </row>
    <row r="15" spans="1:18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3" t="s">
        <v>96</v>
      </c>
      <c r="N15" s="81">
        <v>1.2494560185185185E-3</v>
      </c>
      <c r="O15" s="87" t="s">
        <v>96</v>
      </c>
      <c r="P15" s="77">
        <v>1.241701388888889E-3</v>
      </c>
      <c r="Q15" s="87" t="s">
        <v>96</v>
      </c>
      <c r="R15" s="77">
        <v>1.241701388888889E-3</v>
      </c>
    </row>
    <row r="16" spans="1:18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3" t="s">
        <v>97</v>
      </c>
      <c r="N16" s="81">
        <v>1.2403703703703704E-3</v>
      </c>
      <c r="O16" s="88" t="s">
        <v>97</v>
      </c>
      <c r="P16" s="77">
        <v>1.2480208333333334E-3</v>
      </c>
      <c r="Q16" s="88" t="s">
        <v>97</v>
      </c>
      <c r="R16" s="77">
        <v>1.2480208333333334E-3</v>
      </c>
    </row>
    <row r="17" spans="1:18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98</v>
      </c>
      <c r="N17" s="82">
        <v>1.2507638888888889E-3</v>
      </c>
      <c r="O17" s="85" t="s">
        <v>98</v>
      </c>
      <c r="P17" s="80">
        <v>1.2779629629629629E-3</v>
      </c>
      <c r="Q17" s="85" t="s">
        <v>98</v>
      </c>
      <c r="R17" s="80">
        <v>1.2779629629629629E-3</v>
      </c>
    </row>
    <row r="18" spans="1: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+AVERAGE(L3:L10)</f>
        <v>1.2600376157407408E-3</v>
      </c>
      <c r="M19" s="1"/>
      <c r="N19" s="58">
        <f>+AVERAGE(N3:N10)</f>
        <v>1.2902980324074075E-3</v>
      </c>
      <c r="O19" s="1"/>
      <c r="P19" s="58">
        <f>+AVERAGE(P3:P10)</f>
        <v>1.2611892361111109E-3</v>
      </c>
      <c r="Q19" s="1"/>
      <c r="R19" s="58">
        <f>+AVERAGE(R3:R10)</f>
        <v>1.2611892361111109E-3</v>
      </c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>
        <f>+AVERAGE(L14:L17)</f>
        <v>1.248616898148148E-3</v>
      </c>
      <c r="M20" s="1"/>
      <c r="N20" s="58">
        <f>+AVERAGE(N14:N17)</f>
        <v>1.2466984953703702E-3</v>
      </c>
      <c r="O20" s="1"/>
      <c r="P20" s="58">
        <f>+AVERAGE(P14:P17)</f>
        <v>1.2539409722222223E-3</v>
      </c>
      <c r="Q20" s="1"/>
      <c r="R20" s="58">
        <f>+AVERAGE(R14:R17)</f>
        <v>1.2539409722222223E-3</v>
      </c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58">
        <f>+AVERAGE(L19:L20)</f>
        <v>1.2543272569444444E-3</v>
      </c>
      <c r="M21" s="75"/>
      <c r="N21" s="58">
        <f>+AVERAGE(N19:N20)</f>
        <v>1.2684982638888889E-3</v>
      </c>
      <c r="O21" s="75"/>
      <c r="P21" s="58">
        <f>+AVERAGE(P19:P20)</f>
        <v>1.2575651041666666E-3</v>
      </c>
      <c r="Q21" s="1"/>
      <c r="R21" s="58">
        <f>+AVERAGE(R19:R20)</f>
        <v>1.2575651041666666E-3</v>
      </c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58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89">
        <f>+AVERAGE(L21:L22)</f>
        <v>1.2543272569444444E-3</v>
      </c>
      <c r="M23" s="90"/>
      <c r="N23" s="91">
        <f>+SUM(N21-L21)</f>
        <v>1.4171006944444474E-5</v>
      </c>
      <c r="O23" s="90"/>
      <c r="P23" s="91">
        <f>+SUM(P21-L21)</f>
        <v>3.2378472222221837E-6</v>
      </c>
      <c r="Q23" s="1"/>
      <c r="R23" s="91">
        <v>3.2378472222221837E-6</v>
      </c>
    </row>
  </sheetData>
  <mergeCells count="5">
    <mergeCell ref="K2:L2"/>
    <mergeCell ref="M2:N2"/>
    <mergeCell ref="O2:P2"/>
    <mergeCell ref="Q2:R2"/>
    <mergeCell ref="K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2026-08-03T04:00:22Z</dcterms:modified>
  <cp:category/>
  <cp:contentStatus/>
</cp:coreProperties>
</file>