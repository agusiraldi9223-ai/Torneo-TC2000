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D8A96C6C-CB6D-4769-B436-B7CDA0BD7C5C}" xr6:coauthVersionLast="47" xr6:coauthVersionMax="47" xr10:uidLastSave="{00000000-0000-0000-0000-000000000000}"/>
  <bookViews>
    <workbookView xWindow="0" yWindow="0" windowWidth="20490" windowHeight="7605" firstSheet="2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324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4" i="1" l="1"/>
  <c r="S114" i="1"/>
  <c r="E19" i="3"/>
  <c r="F19" i="3"/>
  <c r="D19" i="3"/>
  <c r="C19" i="3"/>
  <c r="X47" i="8"/>
  <c r="X46" i="8"/>
  <c r="W39" i="8"/>
  <c r="W35" i="8"/>
  <c r="H50" i="8"/>
  <c r="F50" i="8"/>
  <c r="B50" i="8"/>
  <c r="D50" i="8"/>
  <c r="B52" i="8"/>
  <c r="W32" i="8"/>
  <c r="R54" i="8"/>
  <c r="P54" i="8"/>
  <c r="N54" i="8"/>
  <c r="L54" i="8"/>
  <c r="B54" i="8"/>
  <c r="D54" i="8"/>
  <c r="H54" i="8"/>
  <c r="F54" i="8"/>
  <c r="D81" i="8"/>
  <c r="H81" i="8"/>
  <c r="R89" i="8"/>
  <c r="N89" i="8"/>
  <c r="N91" i="8" s="1"/>
  <c r="N85" i="8"/>
  <c r="R85" i="8"/>
  <c r="G38" i="1"/>
  <c r="W128" i="1"/>
  <c r="D77" i="8"/>
  <c r="H77" i="8"/>
  <c r="H79" i="8" s="1"/>
  <c r="F77" i="8"/>
  <c r="B77" i="8"/>
  <c r="D26" i="7"/>
  <c r="W129" i="1"/>
  <c r="G128" i="1"/>
  <c r="K129" i="1"/>
  <c r="B4" i="2"/>
  <c r="K116" i="1"/>
  <c r="M115" i="1"/>
  <c r="M116" i="1" s="1"/>
  <c r="M129" i="1" s="1"/>
  <c r="K115" i="1"/>
  <c r="I115" i="1"/>
  <c r="I116" i="1" s="1"/>
  <c r="I129" i="1" s="1"/>
  <c r="K114" i="1"/>
  <c r="L112" i="1"/>
  <c r="K112" i="1"/>
  <c r="J121" i="1"/>
  <c r="J120" i="1"/>
  <c r="H121" i="1"/>
  <c r="H120" i="1"/>
  <c r="I125" i="1"/>
  <c r="G115" i="1"/>
  <c r="H52" i="8"/>
  <c r="F52" i="8"/>
  <c r="R50" i="8"/>
  <c r="P50" i="8"/>
  <c r="N50" i="8"/>
  <c r="P19" i="8"/>
  <c r="L19" i="8"/>
  <c r="R19" i="8"/>
  <c r="N19" i="8"/>
  <c r="L50" i="8"/>
  <c r="L52" i="8" s="1"/>
  <c r="M102" i="1"/>
  <c r="K102" i="1"/>
  <c r="G102" i="1"/>
  <c r="I102" i="1"/>
  <c r="N94" i="1"/>
  <c r="L94" i="1"/>
  <c r="J94" i="1"/>
  <c r="H94" i="1"/>
  <c r="R6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R87" i="8" l="1"/>
  <c r="R91" i="8"/>
  <c r="N87" i="8"/>
  <c r="P52" i="8"/>
  <c r="R52" i="8"/>
  <c r="P21" i="8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20" i="3"/>
  <c r="F21" i="3"/>
  <c r="F22" i="3"/>
  <c r="E3" i="3"/>
  <c r="E4" i="3"/>
  <c r="E5" i="3"/>
  <c r="E6" i="3"/>
  <c r="E7" i="3"/>
  <c r="E8" i="3"/>
  <c r="E9" i="3"/>
  <c r="E10" i="3"/>
  <c r="E20" i="3"/>
  <c r="E21" i="3"/>
  <c r="E22" i="3"/>
  <c r="D22" i="3"/>
  <c r="D21" i="3"/>
  <c r="D20" i="3"/>
  <c r="D10" i="3"/>
  <c r="D9" i="3"/>
  <c r="D8" i="3"/>
  <c r="D7" i="3"/>
  <c r="D6" i="3"/>
  <c r="D5" i="3"/>
  <c r="D4" i="3"/>
  <c r="D3" i="3"/>
  <c r="C21" i="3"/>
  <c r="C22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N112" i="1" l="1"/>
  <c r="M112" i="1"/>
  <c r="H125" i="1"/>
  <c r="G125" i="1"/>
  <c r="C24" i="3"/>
  <c r="D24" i="3"/>
  <c r="E3" i="2"/>
  <c r="E4" i="2"/>
  <c r="E24" i="3"/>
  <c r="F24" i="3"/>
  <c r="E5" i="2"/>
  <c r="B5" i="2" l="1"/>
  <c r="M114" i="1"/>
  <c r="R7" i="3" s="1"/>
  <c r="G76" i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G116" i="1" s="1"/>
  <c r="G129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S4" i="3"/>
  <c r="Q5" i="3"/>
  <c r="C2" i="2" l="1"/>
  <c r="K2" i="2" s="1"/>
  <c r="S5" i="3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<sst xmlns="http://schemas.openxmlformats.org/spreadsheetml/2006/main" count="576" uniqueCount="119">
  <si>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</si>
  <si>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</si>
  <si>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</si>
  <si>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</si>
  <si>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</si>
  <si>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</si>
  <si>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</si>
  <si>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</si>
  <si>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</si>
  <si>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</si>
  <si>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</si>
  <si>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</si>
  <si>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</si>
  <si>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</si>
  <si>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</si>
  <si>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</si>
  <si>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</si>
  <si>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</si>
  <si>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</si>
  <si>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</si>
  <si>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</si>
  <si>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</si>
  <si>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</si>
  <si>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</si>
  <si>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</si>
  <si>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</si>
  <si>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</si>
  <si>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</si>
  <si>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</si>
  <si>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</si>
  <si>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</si>
  <si>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</si>
  <si>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</si>
  <si>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</si>
  <si>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</si>
  <si>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</si>
  <si>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</si>
  <si>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</si>
  <si>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</si>
  <si>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</si>
  <si>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</si>
  <si>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</si>
  <si>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</si>
  <si>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</si>
  <si>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</si>
  <si>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</si>
  <si>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</si>
  <si>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</si>
  <si>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</si>
  <si>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</si>
  <si>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</si>
  <si>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</si>
  <si>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</si>
  <si>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</si>
  <si>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</si>
  <si>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</si>
  <si>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</si>
  <si>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</si>
  <si>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</si>
  <si>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</si>
  <si>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</si>
  <si>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</si>
  <si>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</si>
  <si>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</si>
  <si>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</si>
  <si>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</si>
  <si>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</si>
  <si>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VILLICUM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</si>
  <si>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</si>
  <si>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</si>
  <si>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</si>
  <si>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</si>
  <si>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</si>
  <si>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</si>
  <si>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</si>
  <si>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</si>
  <si>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</si>
  <si>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</si>
  <si>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</si>
  <si>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</si>
  <si>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Exe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</si>
  <si>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</si>
  <si>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</si>
  <si>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</si>
  <si>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</si>
  <si>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</si>
  <si>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</si>
  <si>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</si>
  <si>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</si>
  <si>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</si>
  <si>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</si>
  <si>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</si>
  <si>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</si>
  <si>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</si>
  <si>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</si>
  <si>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</si>
  <si>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</si>
  <si>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</si>
  <si>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</si>
  <si>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</si>
  <si>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</si>
  <si>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</si>
  <si>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</si>
  <si>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</si>
  <si>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Carrera</t>
  </si>
  <si>
    <t>ROSARIO C1</t>
  </si>
  <si>
    <t>ROSARIO C2</t>
  </si>
  <si>
    <t>Pablo C1</t>
  </si>
  <si>
    <t>Agus C1</t>
  </si>
  <si>
    <t>Juandi C1</t>
  </si>
  <si>
    <t>Eze C1</t>
  </si>
  <si>
    <t>PROMEDIO</t>
  </si>
  <si>
    <t>Mejor tiempo</t>
  </si>
  <si>
    <t>VILLICUM C1</t>
  </si>
  <si>
    <t>Toay</t>
  </si>
  <si>
    <t>Promedio total</t>
  </si>
  <si>
    <t>Dif promedio</t>
  </si>
  <si>
    <t>Record</t>
  </si>
  <si>
    <t>Dif.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</si>
</sst>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  <numFmt numFmtId="169" formatCode="&quot;+ &quot;s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9" fillId="0" borderId="0" xfId="0" applyFont="1" applyBorder="1"/>
    <xf numFmtId="168" fontId="0" fillId="0" borderId="0" xfId="0" applyNumberFormat="1"/>
    <xf numFmtId="0" fontId="10" fillId="0" borderId="0" xfId="0" applyFont="1"/>
    <xf numFmtId="169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314.5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250.5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</c:v>
                </c:pt>
                <c:pt idx="1">
                  <c:v>2.7777777777777777</c:v>
                </c:pt>
                <c:pt idx="2">
                  <c:v>3.3333333333333335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1.6666666666666667</c:v>
                </c:pt>
                <c:pt idx="1">
                  <c:v>2.75</c:v>
                </c:pt>
                <c:pt idx="2">
                  <c:v>3.625</c:v>
                </c:pt>
                <c:pt idx="3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104577546299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10">
        <s v="CABALEN"/>
        <s v="LA PLATA"/>
        <s v="SAN JORGE"/>
        <s v="TOAY"/>
        <s v="MENDOZA"/>
        <s v="CALAFATE"/>
        <s v="TERMAS"/>
        <s v="ROSARIO"/>
        <s v="VILLICUM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3"/>
    <n v="4"/>
  </r>
  <r>
    <x v="6"/>
    <x v="3"/>
    <n v="0"/>
    <n v="0"/>
    <n v="0"/>
    <n v="4"/>
    <n v="1"/>
  </r>
  <r>
    <x v="7"/>
    <x v="0"/>
    <n v="1"/>
    <n v="1"/>
    <n v="1"/>
    <n v="2"/>
    <n v="1"/>
  </r>
  <r>
    <x v="7"/>
    <x v="1"/>
    <n v="0"/>
    <n v="0"/>
    <n v="0"/>
    <n v="1"/>
    <n v="2"/>
  </r>
  <r>
    <x v="7"/>
    <x v="2"/>
    <n v="0"/>
    <n v="0"/>
    <n v="0"/>
    <n v="3"/>
    <n v="4"/>
  </r>
  <r>
    <x v="7"/>
    <x v="3"/>
    <n v="0"/>
    <n v="0"/>
    <n v="0"/>
    <n v="4"/>
    <n v="3"/>
  </r>
  <r>
    <x v="8"/>
    <x v="0"/>
    <n v="1"/>
    <n v="1"/>
    <n v="1"/>
    <n v="1"/>
    <n v="1"/>
  </r>
  <r>
    <x v="8"/>
    <x v="1"/>
    <n v="0"/>
    <n v="0"/>
    <n v="0"/>
    <n v="3"/>
    <s v=""/>
  </r>
  <r>
    <x v="8"/>
    <x v="2"/>
    <n v="0"/>
    <n v="0"/>
    <n v="0"/>
    <n v="4"/>
    <s v=""/>
  </r>
  <r>
    <x v="8"/>
    <x v="3"/>
    <n v="0"/>
    <n v="0"/>
    <n v="0"/>
    <n v="3"/>
    <s v=""/>
  </r>
  <r>
    <x v="9"/>
    <x v="0"/>
    <n v="0"/>
    <n v="0"/>
    <n v="0"/>
    <s v=""/>
    <s v=""/>
  </r>
  <r>
    <x v="9"/>
    <x v="1"/>
    <n v="0"/>
    <n v="0"/>
    <n v="0"/>
    <s v=""/>
    <s v=""/>
  </r>
  <r>
    <x v="9"/>
    <x v="2"/>
    <n v="0"/>
    <n v="0"/>
    <n v="0"/>
    <s v=""/>
    <s v=""/>
  </r>
  <r>
    <x v="9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32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11">
        <item x="0"/>
        <item x="1"/>
        <item x="4"/>
        <item x="2"/>
        <item x="3"/>
        <item x="9"/>
        <item x="5"/>
        <item x="6"/>
        <item x="7"/>
        <item x="8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10">
        <i x="0" s="1"/>
        <i x="5" s="1"/>
        <i x="1" s="1"/>
        <i x="4" s="1"/>
        <i x="7" s="1"/>
        <i x="2" s="1"/>
        <i x="6" s="1"/>
        <i x="3" s="1"/>
        <i x="8" s="1"/>
        <i x="9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abSelected="1" topLeftCell="E93" zoomScaleNormal="100" workbookViewId="0">
      <selection activeCell="M108" sqref="M108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8" t="s">
        <v>0</v>
      </c>
      <c r="B1" s="108"/>
      <c r="C1" s="108" t="s">
        <v>1</v>
      </c>
      <c r="D1" s="108"/>
      <c r="E1" s="1"/>
      <c r="F1" s="115" t="s">
        <v>2</v>
      </c>
      <c r="G1" s="115"/>
      <c r="H1" s="115"/>
      <c r="I1" s="115"/>
      <c r="J1" s="115"/>
      <c r="K1" s="115"/>
      <c r="L1" s="115"/>
      <c r="M1" s="115"/>
      <c r="N1" s="11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104">
        <v>1</v>
      </c>
      <c r="B2" s="104">
        <v>25</v>
      </c>
      <c r="C2" s="104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15" t="s">
        <v>2</v>
      </c>
      <c r="S2" s="115"/>
      <c r="T2" s="115"/>
      <c r="U2" s="115"/>
      <c r="V2" s="115"/>
      <c r="W2" s="115"/>
      <c r="X2" s="115"/>
      <c r="Y2" s="115"/>
      <c r="Z2" s="115"/>
    </row>
    <row r="3" spans="1:26" ht="16.5" thickTop="1" thickBot="1">
      <c r="A3" s="104">
        <v>2</v>
      </c>
      <c r="B3" s="104">
        <v>18</v>
      </c>
      <c r="C3" s="104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104">
        <v>3</v>
      </c>
      <c r="B4" s="104">
        <v>15</v>
      </c>
      <c r="C4" s="104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104">
        <v>4</v>
      </c>
      <c r="B5" s="104">
        <v>12</v>
      </c>
      <c r="C5" s="104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15" t="s">
        <v>15</v>
      </c>
      <c r="S6" s="115"/>
      <c r="T6" s="115"/>
      <c r="U6" s="115"/>
      <c r="V6" s="115"/>
      <c r="W6" s="115"/>
      <c r="X6" s="115"/>
      <c r="Y6" s="115"/>
      <c r="Z6" s="11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19">
        <f>+SUM(H3:H7)</f>
        <v>39.25</v>
      </c>
      <c r="H8" s="117"/>
      <c r="I8" s="119">
        <f>+SUM(J3:J7)</f>
        <v>36.75</v>
      </c>
      <c r="J8" s="117"/>
      <c r="K8" s="119">
        <f>+SUM(L3:L7)</f>
        <v>21</v>
      </c>
      <c r="L8" s="117"/>
      <c r="M8" s="119">
        <f>+SUM(N3:N7)</f>
        <v>28.5</v>
      </c>
      <c r="N8" s="11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15" t="s">
        <v>18</v>
      </c>
      <c r="S9" s="115"/>
      <c r="T9" s="115"/>
      <c r="U9" s="115"/>
      <c r="V9" s="115"/>
      <c r="W9" s="115"/>
      <c r="X9" s="115"/>
      <c r="Y9" s="115"/>
      <c r="Z9" s="115"/>
    </row>
    <row r="10" spans="1:26" ht="15.75" thickTop="1">
      <c r="A10" s="1"/>
      <c r="B10" s="1"/>
      <c r="C10" s="1"/>
      <c r="D10" s="1"/>
      <c r="E10" s="1"/>
      <c r="F10" s="7" t="s">
        <v>19</v>
      </c>
      <c r="G10" s="118">
        <f>G8</f>
        <v>39.25</v>
      </c>
      <c r="H10" s="118"/>
      <c r="I10" s="118">
        <f>I8</f>
        <v>36.75</v>
      </c>
      <c r="J10" s="118"/>
      <c r="K10" s="118">
        <f>K8</f>
        <v>21</v>
      </c>
      <c r="L10" s="118"/>
      <c r="M10" s="118">
        <f>M8</f>
        <v>28.5</v>
      </c>
      <c r="N10" s="118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9">
        <f>+IF($G3=1,40,IF($G3=2,20,IF($G3=3,10,IF($G3=4,0,""))))</f>
        <v>40</v>
      </c>
      <c r="H11" s="110"/>
      <c r="I11" s="109">
        <f>+IF($I3=1,40,IF($I3=2,20,IF($I3=3,10,IF($I3=4,0,""))))</f>
        <v>20</v>
      </c>
      <c r="J11" s="110"/>
      <c r="K11" s="109">
        <f>+IF($K3=1,40,IF($K3=2,20,IF($K3=3,10,IF($K3=4,0,""))))</f>
        <v>0</v>
      </c>
      <c r="L11" s="110"/>
      <c r="M11" s="109">
        <f>+IF($M3=1,40,IF($M3=2,20,IF($M3=3,10,IF($M3=4,0,""))))</f>
        <v>10</v>
      </c>
      <c r="N11" s="110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9">
        <f>+IF($G3=1,40,IF($G3=2,20,IF($G3=3,10,IF($G3=4,0,""))))</f>
        <v>40</v>
      </c>
      <c r="H12" s="110"/>
      <c r="I12" s="109">
        <f>+IF($I3=1,40,IF($I3=2,20,IF($I3=3,10,IF($I3=4,0,""))))</f>
        <v>20</v>
      </c>
      <c r="J12" s="110"/>
      <c r="K12" s="109">
        <f>+IF($K3=1,40,IF($K3=2,20,IF($K3=3,10,IF($K3=4,0,""))))</f>
        <v>0</v>
      </c>
      <c r="L12" s="110"/>
      <c r="M12" s="109">
        <f>+IF($M3=1,40,IF($M3=2,20,IF($M3=3,10,IF($M3=4,0,""))))</f>
        <v>10</v>
      </c>
      <c r="N12" s="110"/>
      <c r="O12" s="1"/>
      <c r="P12" s="1"/>
      <c r="Q12" s="1"/>
      <c r="R12" s="115" t="s">
        <v>21</v>
      </c>
      <c r="S12" s="115"/>
      <c r="T12" s="115"/>
      <c r="U12" s="115"/>
      <c r="V12" s="115"/>
      <c r="W12" s="115"/>
      <c r="X12" s="115"/>
      <c r="Y12" s="115"/>
      <c r="Z12" s="11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15" t="s">
        <v>15</v>
      </c>
      <c r="G14" s="115"/>
      <c r="H14" s="115"/>
      <c r="I14" s="115"/>
      <c r="J14" s="115"/>
      <c r="K14" s="115"/>
      <c r="L14" s="115"/>
      <c r="M14" s="115"/>
      <c r="N14" s="11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19">
        <f>+SUM(H16:H20)</f>
        <v>25.5</v>
      </c>
      <c r="H21" s="117"/>
      <c r="I21" s="116">
        <f>+SUM(J16:J20)</f>
        <v>36.75</v>
      </c>
      <c r="J21" s="117"/>
      <c r="K21" s="116">
        <f>+SUM(L16:L20)</f>
        <v>36.25</v>
      </c>
      <c r="L21" s="117"/>
      <c r="M21" s="116">
        <f>+SUM(N16:N20)</f>
        <v>27</v>
      </c>
      <c r="N21" s="117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13">
        <f>+SUM(G21+G10)</f>
        <v>64.75</v>
      </c>
      <c r="H23" s="114"/>
      <c r="I23" s="113">
        <f>+SUM(I21+I10)</f>
        <v>73.5</v>
      </c>
      <c r="J23" s="114"/>
      <c r="K23" s="113">
        <f>+SUM(K21+K10)</f>
        <v>57.25</v>
      </c>
      <c r="L23" s="114"/>
      <c r="M23" s="113">
        <f>+SUM(M21+M10)</f>
        <v>55.5</v>
      </c>
      <c r="N23" s="114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9">
        <f>+IF($G16=1,40,IF($G16=2,20,IF($G16=3,10,IF($G16=4,0,""))))</f>
        <v>0</v>
      </c>
      <c r="H24" s="110"/>
      <c r="I24" s="109">
        <f>+IF($I16=1,40,IF($I16=2,20,IF($I16=3,10,IF($I16=4,0,""))))</f>
        <v>10</v>
      </c>
      <c r="J24" s="110"/>
      <c r="K24" s="109">
        <f>+IF($K16=1,40,IF($K16=2,20,IF($K16=3,10,IF($K16=4,0,""))))</f>
        <v>40</v>
      </c>
      <c r="L24" s="110"/>
      <c r="M24" s="109">
        <f>+IF($M16=1,40,IF($M16=2,20,IF($M16=3,10,IF($M16=4,0,""))))</f>
        <v>20</v>
      </c>
      <c r="N24" s="110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9">
        <f>+SUM(G24+G12)</f>
        <v>40</v>
      </c>
      <c r="H25" s="110"/>
      <c r="I25" s="109">
        <f>+SUM(I24+I12)</f>
        <v>30</v>
      </c>
      <c r="J25" s="110"/>
      <c r="K25" s="109">
        <f>+SUM(K24+K12)</f>
        <v>40</v>
      </c>
      <c r="L25" s="110"/>
      <c r="M25" s="109">
        <f>+SUM(M24+M12)</f>
        <v>30</v>
      </c>
      <c r="N25" s="110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15" t="s">
        <v>18</v>
      </c>
      <c r="G27" s="115"/>
      <c r="H27" s="115"/>
      <c r="I27" s="115"/>
      <c r="J27" s="115"/>
      <c r="K27" s="115"/>
      <c r="L27" s="115"/>
      <c r="M27" s="115"/>
      <c r="N27" s="11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16">
        <f>+SUM(H29:H33)</f>
        <v>31.5</v>
      </c>
      <c r="H34" s="117"/>
      <c r="I34" s="116">
        <f>+SUM(J29:J33)</f>
        <v>46.75</v>
      </c>
      <c r="J34" s="117"/>
      <c r="K34" s="116">
        <f>+SUM(L29:L33)</f>
        <v>26.25</v>
      </c>
      <c r="L34" s="117"/>
      <c r="M34" s="116">
        <f>+SUM(N29:N33)</f>
        <v>21</v>
      </c>
      <c r="N34" s="117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13">
        <f>+SUM(G34,G23)</f>
        <v>96.25</v>
      </c>
      <c r="H36" s="114"/>
      <c r="I36" s="113">
        <f>+SUM(I34,I23)</f>
        <v>120.25</v>
      </c>
      <c r="J36" s="114"/>
      <c r="K36" s="113">
        <f>+SUM(K34,K23)</f>
        <v>83.5</v>
      </c>
      <c r="L36" s="114"/>
      <c r="M36" s="113">
        <f>+SUM(M34,M23)</f>
        <v>76.5</v>
      </c>
      <c r="N36" s="114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9">
        <f>+IF($G29=1,40,IF($G29=2,20,IF($G29=3,10,IF($G29=4,0,""))))</f>
        <v>20</v>
      </c>
      <c r="H37" s="110"/>
      <c r="I37" s="109">
        <f>+IF($I29=1,40,IF($I29=2,20,IF($I29=3,10,IF($I29=4,0,""))))</f>
        <v>40</v>
      </c>
      <c r="J37" s="110"/>
      <c r="K37" s="109">
        <f>+IF($K29=1,40,IF($K29=2,20,IF($K29=3,10,IF($K29=4,0,""))))</f>
        <v>10</v>
      </c>
      <c r="L37" s="110"/>
      <c r="M37" s="109">
        <f>+IF($M29=1,40,IF($M29=2,20,IF($M29=3,10,IF($M29=4,0,""))))</f>
        <v>0</v>
      </c>
      <c r="N37" s="110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9">
        <f>+SUM(G37+G25)</f>
        <v>60</v>
      </c>
      <c r="H38" s="110"/>
      <c r="I38" s="109">
        <f>+SUM(I37+I25)</f>
        <v>70</v>
      </c>
      <c r="J38" s="110"/>
      <c r="K38" s="109">
        <f>+SUM(K37+K25)</f>
        <v>50</v>
      </c>
      <c r="L38" s="110"/>
      <c r="M38" s="109">
        <f>+SUM(M37+M25)</f>
        <v>30</v>
      </c>
      <c r="N38" s="110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15" t="s">
        <v>21</v>
      </c>
      <c r="G40" s="115"/>
      <c r="H40" s="115"/>
      <c r="I40" s="115"/>
      <c r="J40" s="115"/>
      <c r="K40" s="115"/>
      <c r="L40" s="115"/>
      <c r="M40" s="115"/>
      <c r="N40" s="11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16">
        <f>+SUM(H42:H46)</f>
        <v>45.75</v>
      </c>
      <c r="H47" s="117"/>
      <c r="I47" s="116">
        <f t="shared" ref="I47" si="0">+SUM(J42:J46)</f>
        <v>28.5</v>
      </c>
      <c r="J47" s="117"/>
      <c r="K47" s="116">
        <f t="shared" ref="K47" si="1">+SUM(L42:L46)</f>
        <v>23.25</v>
      </c>
      <c r="L47" s="117"/>
      <c r="M47" s="116">
        <f t="shared" ref="M47" si="2">+SUM(N42:N46)</f>
        <v>28</v>
      </c>
      <c r="N47" s="117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13">
        <f>+SUM(G47,G36)</f>
        <v>142</v>
      </c>
      <c r="H49" s="114"/>
      <c r="I49" s="113">
        <f>+SUM(I47,I36)</f>
        <v>148.75</v>
      </c>
      <c r="J49" s="114"/>
      <c r="K49" s="113">
        <f>+SUM(K47,K36)</f>
        <v>106.75</v>
      </c>
      <c r="L49" s="114"/>
      <c r="M49" s="113">
        <f>+SUM(M47,M36)</f>
        <v>104.5</v>
      </c>
      <c r="N49" s="114"/>
      <c r="O49" s="1"/>
      <c r="P49" s="1"/>
    </row>
    <row r="50" spans="6:16">
      <c r="F50" s="7" t="s">
        <v>12</v>
      </c>
      <c r="G50" s="109">
        <f>+IF($G42=1,40,IF($G42=2,20,IF($G42=3,10,IF($G42=4,0,""))))</f>
        <v>40</v>
      </c>
      <c r="H50" s="110"/>
      <c r="I50" s="109">
        <f>+IF($I42=1,40,IF($I42=2,20,IF($I42=3,10,IF($I42=4,0,""))))</f>
        <v>10</v>
      </c>
      <c r="J50" s="110"/>
      <c r="K50" s="109">
        <f>+IF($K42=1,40,IF($K42=2,20,IF($K42=3,10,IF($K42=4,0,""))))</f>
        <v>0</v>
      </c>
      <c r="L50" s="110"/>
      <c r="M50" s="109">
        <f>+IF($M42=1,40,IF($M42=2,20,IF($M42=3,10,IF($M42=4,0,""))))</f>
        <v>20</v>
      </c>
      <c r="N50" s="110"/>
      <c r="O50" s="1"/>
      <c r="P50" s="1"/>
    </row>
    <row r="51" spans="6:16">
      <c r="F51" s="15" t="s">
        <v>20</v>
      </c>
      <c r="G51" s="109">
        <f>+SUM(G50+G38-G11)</f>
        <v>60</v>
      </c>
      <c r="H51" s="110"/>
      <c r="I51" s="109">
        <f>+SUM(I50+I38-I11)</f>
        <v>60</v>
      </c>
      <c r="J51" s="110"/>
      <c r="K51" s="109">
        <f>+SUM(K50+K38-K11)</f>
        <v>50</v>
      </c>
      <c r="L51" s="110"/>
      <c r="M51" s="109">
        <f>+SUM(M50+M38-M11)</f>
        <v>40</v>
      </c>
      <c r="N51" s="110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15" t="s">
        <v>25</v>
      </c>
      <c r="G53" s="115"/>
      <c r="H53" s="115"/>
      <c r="I53" s="115"/>
      <c r="J53" s="115"/>
      <c r="K53" s="115"/>
      <c r="L53" s="115"/>
      <c r="M53" s="115"/>
      <c r="N53" s="11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16">
        <f>+SUM(H55:H59)</f>
        <v>30.5</v>
      </c>
      <c r="H60" s="117"/>
      <c r="I60" s="116">
        <f>+SUM(J55:J59)</f>
        <v>29.25</v>
      </c>
      <c r="J60" s="117"/>
      <c r="K60" s="116">
        <f t="shared" ref="K60" si="3">+SUM(L55:L59)</f>
        <v>21</v>
      </c>
      <c r="L60" s="117"/>
      <c r="M60" s="116">
        <f t="shared" ref="M60" si="4">+SUM(N55:N59)</f>
        <v>44.75</v>
      </c>
      <c r="N60" s="117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13">
        <f>+SUM(G60,G49)</f>
        <v>172.5</v>
      </c>
      <c r="H62" s="114"/>
      <c r="I62" s="113">
        <f t="shared" ref="I62" si="5">+SUM(I60,I49)</f>
        <v>178</v>
      </c>
      <c r="J62" s="114"/>
      <c r="K62" s="113">
        <f t="shared" ref="K62" si="6">+SUM(K60,K49)</f>
        <v>127.75</v>
      </c>
      <c r="L62" s="114"/>
      <c r="M62" s="113">
        <f t="shared" ref="M62" si="7">+SUM(M60,M49)</f>
        <v>149.25</v>
      </c>
      <c r="N62" s="114"/>
      <c r="O62" s="1"/>
      <c r="P62" s="1"/>
    </row>
    <row r="63" spans="6:16">
      <c r="F63" s="7" t="s">
        <v>12</v>
      </c>
      <c r="G63" s="109">
        <f>+IF($G55=1,40,IF($G55=2,20,IF($G55=3,10,IF($G55=4,0,""))))</f>
        <v>10</v>
      </c>
      <c r="H63" s="110"/>
      <c r="I63" s="109">
        <f>+IF($I55=1,40,IF($I55=2,20,IF($I55=3,10,IF($I55=4,0,""))))</f>
        <v>20</v>
      </c>
      <c r="J63" s="110"/>
      <c r="K63" s="109">
        <f>+IF($K55=1,40,IF($K55=2,20,IF($K55=3,10,IF($K55=4,0,""))))</f>
        <v>0</v>
      </c>
      <c r="L63" s="110"/>
      <c r="M63" s="109">
        <f>+IF($M55=1,40,IF($M55=2,20,IF($M55=3,10,IF($M55=4,0,""))))</f>
        <v>40</v>
      </c>
      <c r="N63" s="110"/>
      <c r="O63" s="1"/>
      <c r="P63" s="1"/>
    </row>
    <row r="64" spans="6:16">
      <c r="F64" s="15" t="s">
        <v>20</v>
      </c>
      <c r="G64" s="109">
        <f>+SUM(G63+G51-G24)</f>
        <v>70</v>
      </c>
      <c r="H64" s="110"/>
      <c r="I64" s="109">
        <f>+SUM(I63+I51-I24)</f>
        <v>70</v>
      </c>
      <c r="J64" s="110"/>
      <c r="K64" s="109">
        <f>+SUM(K63+K51-K24)</f>
        <v>10</v>
      </c>
      <c r="L64" s="110"/>
      <c r="M64" s="109">
        <f>+SUM(M63+M51-M24)</f>
        <v>60</v>
      </c>
      <c r="N64" s="110"/>
      <c r="O64" s="1"/>
      <c r="P64" s="1"/>
    </row>
    <row r="66" spans="6:16" ht="15.75" thickBot="1">
      <c r="F66" s="115" t="s">
        <v>27</v>
      </c>
      <c r="G66" s="115"/>
      <c r="H66" s="115"/>
      <c r="I66" s="115"/>
      <c r="J66" s="115"/>
      <c r="K66" s="115"/>
      <c r="L66" s="115"/>
      <c r="M66" s="115"/>
      <c r="N66" s="11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16">
        <f>+SUM(H68:H72)</f>
        <v>34.75</v>
      </c>
      <c r="H73" s="117">
        <f>+SUM(H68:H72)</f>
        <v>34.75</v>
      </c>
      <c r="I73" s="116">
        <f>+SUM(J68:J72)</f>
        <v>40.5</v>
      </c>
      <c r="J73" s="117">
        <f>+SUM(J68:J72)</f>
        <v>40.5</v>
      </c>
      <c r="K73" s="116">
        <f>+SUM(L68:L72)</f>
        <v>21</v>
      </c>
      <c r="L73" s="117">
        <f t="shared" ref="L73" si="8">+SUM(L68:L72)</f>
        <v>21</v>
      </c>
      <c r="M73" s="116">
        <f t="shared" ref="M73" si="9">+SUM(N68:N72)</f>
        <v>29.25</v>
      </c>
      <c r="N73" s="117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13">
        <f>+SUM(G73,G62)</f>
        <v>207.25</v>
      </c>
      <c r="H75" s="114"/>
      <c r="I75" s="113">
        <f>+SUM(I73,I62)</f>
        <v>218.5</v>
      </c>
      <c r="J75" s="114"/>
      <c r="K75" s="113">
        <f>+SUM(K73,K62)</f>
        <v>148.75</v>
      </c>
      <c r="L75" s="114"/>
      <c r="M75" s="113">
        <f>+SUM(M73,M62)</f>
        <v>178.5</v>
      </c>
      <c r="N75" s="114"/>
      <c r="O75" s="1"/>
      <c r="P75" s="1"/>
    </row>
    <row r="76" spans="6:16">
      <c r="F76" s="7" t="s">
        <v>12</v>
      </c>
      <c r="G76" s="109">
        <f>+IF($G68=1,40,IF($G68=2,20,IF($G68=3,10,IF($G68=4,0,""))))</f>
        <v>10</v>
      </c>
      <c r="H76" s="110"/>
      <c r="I76" s="109">
        <f>+IF($I68=1,40,IF($I68=2,20,IF($I68=3,10,IF($I68=4,0,""))))</f>
        <v>40</v>
      </c>
      <c r="J76" s="110"/>
      <c r="K76" s="109">
        <f>+IF($K68=1,40,IF($K68=2,20,IF($K68=3,10,IF($K68=4,0,""))))</f>
        <v>0</v>
      </c>
      <c r="L76" s="110"/>
      <c r="M76" s="109">
        <f>+IF($M68=1,40,IF($M68=2,20,IF($M68=3,10,IF($M68=4,0,""))))</f>
        <v>20</v>
      </c>
      <c r="N76" s="110"/>
      <c r="O76" s="1"/>
      <c r="P76" s="1"/>
    </row>
    <row r="77" spans="6:16">
      <c r="F77" s="15" t="s">
        <v>20</v>
      </c>
      <c r="G77" s="109">
        <f>+SUM(G76+G64-G37)</f>
        <v>60</v>
      </c>
      <c r="H77" s="110"/>
      <c r="I77" s="109">
        <f>+SUM(I76+I64-I37)</f>
        <v>70</v>
      </c>
      <c r="J77" s="110"/>
      <c r="K77" s="109">
        <f>+SUM(K76+K64-K37)</f>
        <v>0</v>
      </c>
      <c r="L77" s="110"/>
      <c r="M77" s="109">
        <f>+SUM(M76+M64-M37)</f>
        <v>80</v>
      </c>
      <c r="N77" s="110"/>
      <c r="O77" s="1"/>
      <c r="P77" s="1"/>
    </row>
    <row r="79" spans="6:16" ht="15.75" thickBot="1">
      <c r="F79" s="115" t="s">
        <v>29</v>
      </c>
      <c r="G79" s="115"/>
      <c r="H79" s="115"/>
      <c r="I79" s="115"/>
      <c r="J79" s="115"/>
      <c r="K79" s="115"/>
      <c r="L79" s="115"/>
      <c r="M79" s="115"/>
      <c r="N79" s="11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16">
        <f>+SUM(H81:H85)</f>
        <v>40.5</v>
      </c>
      <c r="H86" s="117">
        <f>+SUM(H81:H85)</f>
        <v>40.5</v>
      </c>
      <c r="I86" s="116">
        <f>+SUM(J81:J85)</f>
        <v>30.25</v>
      </c>
      <c r="J86" s="117">
        <f>+SUM(J81:J85)</f>
        <v>30.25</v>
      </c>
      <c r="K86" s="116">
        <f t="shared" ref="K86:N86" si="11">+SUM(L81:L85)</f>
        <v>24</v>
      </c>
      <c r="L86" s="117">
        <f t="shared" ref="L86" si="12">+SUM(L81:L85)</f>
        <v>24</v>
      </c>
      <c r="M86" s="116">
        <f t="shared" ref="M86:N86" si="13">+SUM(N81:N85)</f>
        <v>30.75</v>
      </c>
      <c r="N86" s="117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13">
        <f>+SUM(G86,G75)</f>
        <v>247.75</v>
      </c>
      <c r="H88" s="114"/>
      <c r="I88" s="113">
        <f>+SUM(I86,I75)</f>
        <v>248.75</v>
      </c>
      <c r="J88" s="114"/>
      <c r="K88" s="113">
        <f>+SUM(K86,K75)</f>
        <v>172.75</v>
      </c>
      <c r="L88" s="114"/>
      <c r="M88" s="113">
        <f>+SUM(M86,M75)</f>
        <v>209.25</v>
      </c>
      <c r="N88" s="11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09">
        <f>+IF($G81=1,40,IF($G81=2,20,IF($G81=3,10,IF($G81=4,0,""))))</f>
        <v>40</v>
      </c>
      <c r="H89" s="110"/>
      <c r="I89" s="109">
        <f>+IF($I81=1,40,IF($I81=2,20,IF($I81=3,10,IF($I81=4,0,""))))</f>
        <v>20</v>
      </c>
      <c r="J89" s="110"/>
      <c r="K89" s="109">
        <f>+IF($K81=1,40,IF($K81=2,20,IF($K81=3,10,IF($K81=4,0,""))))</f>
        <v>10</v>
      </c>
      <c r="L89" s="110"/>
      <c r="M89" s="109">
        <f>+IF($M81=1,40,IF($M81=2,20,IF($M81=3,10,IF($M81=4,0,""))))</f>
        <v>0</v>
      </c>
      <c r="N89" s="110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09">
        <f>+SUM(G89+G77-G50)</f>
        <v>60</v>
      </c>
      <c r="H90" s="110"/>
      <c r="I90" s="109">
        <f>+SUM(I89+I77-I50)</f>
        <v>80</v>
      </c>
      <c r="J90" s="110"/>
      <c r="K90" s="109">
        <f>+SUM(K89+K77-K50)</f>
        <v>10</v>
      </c>
      <c r="L90" s="110"/>
      <c r="M90" s="109">
        <f>+SUM(M89+M77-M50)</f>
        <v>60</v>
      </c>
      <c r="N90" s="110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15" t="s">
        <v>31</v>
      </c>
      <c r="G92" s="115"/>
      <c r="H92" s="115"/>
      <c r="I92" s="115"/>
      <c r="J92" s="115"/>
      <c r="K92" s="115"/>
      <c r="L92" s="115"/>
      <c r="M92" s="115"/>
      <c r="N92" s="11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23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  <c r="Q97" s="1"/>
      <c r="R97" s="1"/>
      <c r="S97" s="1"/>
      <c r="T97" s="1"/>
      <c r="U97" s="1"/>
      <c r="V97" s="1"/>
      <c r="W97" s="1"/>
    </row>
    <row r="98" spans="6:23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  <c r="Q98" s="1"/>
      <c r="R98" s="1"/>
      <c r="S98" s="1"/>
      <c r="T98" s="1"/>
      <c r="U98" s="1"/>
      <c r="V98" s="1"/>
      <c r="W98" s="1"/>
    </row>
    <row r="99" spans="6:23" ht="15.75" customHeight="1">
      <c r="F99" s="12" t="s">
        <v>17</v>
      </c>
      <c r="G99" s="116">
        <f>+SUM(H94:H98)</f>
        <v>39.75</v>
      </c>
      <c r="H99" s="117">
        <f>+SUM(H94:H98)</f>
        <v>39.75</v>
      </c>
      <c r="I99" s="116">
        <f>+SUM(J94:J98)</f>
        <v>38.5</v>
      </c>
      <c r="J99" s="117">
        <f>+SUM(J94:J98)</f>
        <v>38.5</v>
      </c>
      <c r="K99" s="116">
        <f t="shared" ref="K99" si="15">+SUM(L94:L98)</f>
        <v>24</v>
      </c>
      <c r="L99" s="117">
        <f t="shared" ref="L99" si="16">+SUM(L94:L98)</f>
        <v>24</v>
      </c>
      <c r="M99" s="116">
        <f t="shared" ref="M99" si="17">+SUM(N94:N98)</f>
        <v>23.25</v>
      </c>
      <c r="N99" s="117">
        <f t="shared" ref="N99" si="18">+SUM(N94:N98)</f>
        <v>23.25</v>
      </c>
      <c r="O99" s="1"/>
      <c r="P99" s="1"/>
      <c r="Q99" s="1"/>
      <c r="R99" s="1"/>
      <c r="S99" s="1"/>
      <c r="T99" s="1"/>
      <c r="U99" s="1"/>
      <c r="V99" s="1"/>
      <c r="W99" s="1"/>
    </row>
    <row r="100" spans="6:23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6:23">
      <c r="F101" s="7" t="s">
        <v>19</v>
      </c>
      <c r="G101" s="113">
        <f>+SUM(G99,G88)</f>
        <v>287.5</v>
      </c>
      <c r="H101" s="114"/>
      <c r="I101" s="113">
        <f>+SUM(I99,I88)</f>
        <v>287.25</v>
      </c>
      <c r="J101" s="114"/>
      <c r="K101" s="113">
        <f>+SUM(K99,K88)</f>
        <v>196.75</v>
      </c>
      <c r="L101" s="114"/>
      <c r="M101" s="113">
        <f>+SUM(M99,M88)</f>
        <v>232.5</v>
      </c>
      <c r="N101" s="114"/>
      <c r="O101" s="1"/>
      <c r="P101" s="1"/>
      <c r="Q101" s="1"/>
      <c r="R101" s="1"/>
      <c r="S101" s="1"/>
      <c r="T101" s="1"/>
      <c r="U101" s="1"/>
      <c r="V101" s="1"/>
      <c r="W101" s="1"/>
    </row>
    <row r="102" spans="6:23">
      <c r="F102" s="7" t="s">
        <v>12</v>
      </c>
      <c r="G102" s="109">
        <f>+IF($G94=1,40,IF($G94=2,20,IF($G94=3,10,IF($G94=4,0,""))))</f>
        <v>20</v>
      </c>
      <c r="H102" s="110"/>
      <c r="I102" s="109">
        <f>+IF($I94=1,40,IF($I94=2,20,IF($I94=3,10,IF($I94=4,0,""))))</f>
        <v>40</v>
      </c>
      <c r="J102" s="110"/>
      <c r="K102" s="109">
        <f>+IF($K94=1,40,IF($K94=2,20,IF($K94=3,10,IF($K94=4,0,""))))</f>
        <v>10</v>
      </c>
      <c r="L102" s="110"/>
      <c r="M102" s="109">
        <f>+IF($M94=1,40,IF($M94=2,20,IF($M94=3,10,IF($M94=4,0,""))))</f>
        <v>0</v>
      </c>
      <c r="N102" s="110"/>
      <c r="O102" s="1"/>
      <c r="P102" s="1"/>
      <c r="Q102" s="1"/>
      <c r="R102" s="1"/>
      <c r="S102" s="1"/>
      <c r="T102" s="1"/>
      <c r="U102" s="1"/>
      <c r="V102" s="1"/>
      <c r="W102" s="1"/>
    </row>
    <row r="103" spans="6:23">
      <c r="F103" s="15" t="s">
        <v>20</v>
      </c>
      <c r="G103" s="109">
        <f>+SUM(G102+G90-G63)</f>
        <v>70</v>
      </c>
      <c r="H103" s="110"/>
      <c r="I103" s="109">
        <f>+SUM(I102+I90-I63)</f>
        <v>100</v>
      </c>
      <c r="J103" s="110"/>
      <c r="K103" s="109">
        <f>+SUM(K102+K90-K63)</f>
        <v>20</v>
      </c>
      <c r="L103" s="110"/>
      <c r="M103" s="109">
        <f>+SUM(M102+M90-M63)</f>
        <v>20</v>
      </c>
      <c r="N103" s="110"/>
      <c r="O103" s="1"/>
      <c r="P103" s="1"/>
      <c r="Q103" s="1"/>
      <c r="R103" s="1"/>
      <c r="S103" s="1"/>
      <c r="T103" s="1"/>
      <c r="U103" s="1"/>
      <c r="V103" s="1"/>
      <c r="W103" s="101"/>
    </row>
    <row r="105" spans="6:23">
      <c r="F105" s="115" t="s">
        <v>33</v>
      </c>
      <c r="G105" s="115"/>
      <c r="H105" s="115"/>
      <c r="I105" s="115"/>
      <c r="J105" s="115"/>
      <c r="K105" s="115"/>
      <c r="L105" s="115"/>
      <c r="M105" s="115"/>
      <c r="N105" s="115"/>
      <c r="O105" s="1"/>
      <c r="P105" s="1"/>
      <c r="Q105" s="1"/>
      <c r="R105" s="1"/>
      <c r="S105" s="1"/>
      <c r="T105" s="1"/>
      <c r="U105" s="1"/>
      <c r="V105" s="1"/>
      <c r="W105" s="1"/>
    </row>
    <row r="106" spans="6:23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  <c r="Q106" s="1"/>
      <c r="R106" s="1"/>
      <c r="S106" s="1"/>
      <c r="T106" s="1"/>
      <c r="U106" s="1"/>
      <c r="V106" s="1"/>
      <c r="W106" s="1"/>
    </row>
    <row r="107" spans="6:23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2</v>
      </c>
      <c r="N107" s="6">
        <f>+IF(M107=1,$B$2,IF($M107=2,$B$3,IF($M107=3,$B$4,IF($M107=4,$B$5,""))))</f>
        <v>18</v>
      </c>
      <c r="O107" s="1"/>
      <c r="P107" s="1"/>
      <c r="Q107" s="1"/>
      <c r="R107" s="1"/>
      <c r="S107" s="1"/>
      <c r="T107" s="1"/>
      <c r="U107" s="1"/>
      <c r="V107" s="1"/>
      <c r="W107" s="1"/>
    </row>
    <row r="108" spans="6:23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30"/>
      <c r="N108" s="5" t="str">
        <f>+IF(M108=1,$D$2,IF($M108=2,$D$3,IF($M108=3,$D$4,IF($M108=4,$D$5,""))))</f>
        <v/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6:23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  <c r="Q109" s="1"/>
      <c r="R109" s="1"/>
      <c r="S109" s="1"/>
      <c r="T109" s="1"/>
      <c r="U109" s="1"/>
      <c r="V109" s="1"/>
      <c r="W109" s="1"/>
    </row>
    <row r="110" spans="6:23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  <c r="Q110" s="1"/>
      <c r="R110" s="1"/>
      <c r="S110" s="1"/>
      <c r="T110" s="1"/>
      <c r="U110" s="1"/>
      <c r="V110" s="1"/>
      <c r="W110" s="1"/>
    </row>
    <row r="111" spans="6:23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  <c r="O111" s="1"/>
      <c r="P111" s="1"/>
      <c r="Q111" s="1"/>
      <c r="R111" s="1"/>
      <c r="S111" s="1"/>
      <c r="T111" s="1"/>
      <c r="U111" s="1"/>
      <c r="V111" s="1"/>
      <c r="W111" s="1"/>
    </row>
    <row r="112" spans="6:23" ht="15.75" customHeight="1">
      <c r="F112" s="12" t="s">
        <v>17</v>
      </c>
      <c r="G112" s="116">
        <f>+SUM(H107:H111)</f>
        <v>27</v>
      </c>
      <c r="H112" s="117">
        <f>+SUM(H107:H111)</f>
        <v>27</v>
      </c>
      <c r="I112" s="116">
        <f>+SUM(J107:J111)</f>
        <v>15</v>
      </c>
      <c r="J112" s="117">
        <f>+SUM(J107:J111)</f>
        <v>15</v>
      </c>
      <c r="K112" s="116">
        <f>+SUM(L107:L111)</f>
        <v>12</v>
      </c>
      <c r="L112" s="117">
        <f>+SUM(L107:L111)</f>
        <v>12</v>
      </c>
      <c r="M112" s="116">
        <f>+SUM(N107:N111)</f>
        <v>18</v>
      </c>
      <c r="N112" s="117">
        <f>+SUM(N107:N111)</f>
        <v>18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13">
        <f>+SUM(G112,G101)</f>
        <v>314.5</v>
      </c>
      <c r="H114" s="114"/>
      <c r="I114" s="113">
        <f>+SUM(I112,I101)</f>
        <v>302.25</v>
      </c>
      <c r="J114" s="114"/>
      <c r="K114" s="113">
        <f>+SUM(K112,K101)</f>
        <v>208.75</v>
      </c>
      <c r="L114" s="114"/>
      <c r="M114" s="113">
        <f>+SUM(M112,M101)</f>
        <v>250.5</v>
      </c>
      <c r="N114" s="114"/>
      <c r="O114" s="1"/>
      <c r="P114" s="1"/>
      <c r="Q114" s="1"/>
      <c r="R114" s="1">
        <v>348.5</v>
      </c>
      <c r="S114" s="1">
        <f>+SUM(R114+21.5)</f>
        <v>370</v>
      </c>
      <c r="T114" s="1"/>
      <c r="U114" s="1">
        <f>+SUM(S114-46.75)</f>
        <v>323.25</v>
      </c>
      <c r="V114" s="1"/>
      <c r="W114" s="1"/>
    </row>
    <row r="115" spans="6:23">
      <c r="F115" s="7" t="s">
        <v>12</v>
      </c>
      <c r="G115" s="109">
        <f>+IF($G107=1,40,IF($G107=2,20,IF($G107=3,10,IF($G107=4,0,""))))</f>
        <v>40</v>
      </c>
      <c r="H115" s="110"/>
      <c r="I115" s="109">
        <f>+IF($I107=1,40,IF($I107=2,20,IF($I107=3,10,IF($I107=4,0,""))))</f>
        <v>10</v>
      </c>
      <c r="J115" s="110"/>
      <c r="K115" s="109">
        <f>+IF($K107=1,40,IF($K107=2,20,IF($K107=3,10,IF($K107=4,0,""))))</f>
        <v>0</v>
      </c>
      <c r="L115" s="110"/>
      <c r="M115" s="109">
        <f>+IF($M107=1,40,IF($M107=2,20,IF($M107=3,10,IF($M107=4,0,""))))</f>
        <v>20</v>
      </c>
      <c r="N115" s="110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09">
        <f>+SUM(G115+G103-G76)</f>
        <v>100</v>
      </c>
      <c r="H116" s="110"/>
      <c r="I116" s="109">
        <f>+SUM(I115+I103-I76)</f>
        <v>70</v>
      </c>
      <c r="J116" s="110"/>
      <c r="K116" s="109">
        <f>+SUM(K115+K103-K76)</f>
        <v>20</v>
      </c>
      <c r="L116" s="110"/>
      <c r="M116" s="109">
        <f>+SUM(M115+M103-M76)</f>
        <v>20</v>
      </c>
      <c r="N116" s="110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15" t="s">
        <v>35</v>
      </c>
      <c r="G118" s="115"/>
      <c r="H118" s="115"/>
      <c r="I118" s="115"/>
      <c r="J118" s="115"/>
      <c r="K118" s="115"/>
      <c r="L118" s="115"/>
      <c r="M118" s="115"/>
      <c r="N118" s="11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/>
      <c r="H120" s="6" t="str">
        <f>+IF(G120=1,$P$128,IF($G120=2,$P$129,IF($G120=3,$B$4,IF($G120=4,$B$5,""))))</f>
        <v/>
      </c>
      <c r="I120" s="9"/>
      <c r="J120" s="6" t="str">
        <f>+IF(I120=1,$P$128,IF($G120=2,$P$129,IF($G120=3,$B$4,IF($G120=4,$B$5,""))))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/>
      <c r="H121" s="6" t="str">
        <f>+IF(G121=1,$Q$128,IF($G121=2,$Q$129,IF($G121=3,$B$4,IF($G121=4,$B$5,""))))</f>
        <v/>
      </c>
      <c r="I121" s="10"/>
      <c r="J121" s="6" t="str">
        <f>+IF(I121=1,$Q$128,IF($I121=2,$Q$129,IF($G121=3,$B$4,IF($G121=4,$B$5,""))))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16">
        <f>+SUM(H120:H121)</f>
        <v>0</v>
      </c>
      <c r="H125" s="117">
        <f>+SUM(H120:H124)</f>
        <v>0</v>
      </c>
      <c r="I125" s="116">
        <f>+SUM(J120:J121)</f>
        <v>0</v>
      </c>
      <c r="J125" s="117">
        <f>+SUM(J120:J124)</f>
        <v>0</v>
      </c>
      <c r="K125" s="116"/>
      <c r="L125" s="117">
        <f>+SUM(L120:L124)</f>
        <v>0</v>
      </c>
      <c r="M125" s="116"/>
      <c r="N125" s="117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13"/>
      <c r="H127" s="114"/>
      <c r="I127" s="113"/>
      <c r="J127" s="114"/>
      <c r="K127" s="113">
        <f>L125</f>
        <v>0</v>
      </c>
      <c r="L127" s="114"/>
      <c r="M127" s="113">
        <f>N125</f>
        <v>0</v>
      </c>
      <c r="N127" s="114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09" t="str">
        <f>+IF($G120=1,40,IF($G120=2,20,IF($G120=3,10,IF($G120=4,0,""))))</f>
        <v/>
      </c>
      <c r="H128" s="110"/>
      <c r="I128" s="111" t="str">
        <f>+IF($I120=1,40,IF($I120=2,20,IF($I120=3,10,IF($I120=4,0,""))))</f>
        <v/>
      </c>
      <c r="J128" s="112"/>
      <c r="K128" s="113"/>
      <c r="L128" s="114"/>
      <c r="M128" s="113"/>
      <c r="N128" s="114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09">
        <f>G116</f>
        <v>100</v>
      </c>
      <c r="H129" s="110"/>
      <c r="I129" s="109">
        <f t="shared" ref="I129:N129" si="19">I116</f>
        <v>70</v>
      </c>
      <c r="J129" s="110"/>
      <c r="K129" s="109">
        <f t="shared" ref="K129:N129" si="20">K116</f>
        <v>20</v>
      </c>
      <c r="L129" s="110"/>
      <c r="M129" s="109">
        <f t="shared" ref="M129:N129" si="21">M116</f>
        <v>20</v>
      </c>
      <c r="N129" s="110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01">
        <f>+SUM(P129-T129)</f>
        <v>7.875</v>
      </c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B2" sqref="B2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314.5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1.8823529411764706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314.5</v>
      </c>
      <c r="K2" s="43">
        <f>INDEX($C$2:$C$5, MATCH(H2, $D$2:$D$5, 0))</f>
        <v>100</v>
      </c>
      <c r="L2" s="29"/>
      <c r="M2" s="47">
        <f>INDEX($E$2:$E$5, MATCH(I2, $A$2:$A$5, 0))</f>
        <v>1.8823529411764706</v>
      </c>
      <c r="N2" s="48">
        <f>J2 / (COUNTIFS(DATOS!D3:D22, "&gt;0",DATOS!$B$3:$B$22, "CARRERA 1") * 46.75)</f>
        <v>0.74747474747474751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1.9411764705882353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1.9411764705882353</v>
      </c>
      <c r="N3" s="39">
        <f>J3 / (COUNTIFS(DATOS!D3:D22, "&gt;0",DATOS!$B$3:$B$22, "CARRERA 1") * 46.75)</f>
        <v>0.71836007130124779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3.4705882352941178</v>
      </c>
      <c r="F4" s="1"/>
      <c r="G4" s="29"/>
      <c r="H4" s="30">
        <v>3</v>
      </c>
      <c r="I4" s="31" t="str">
        <f t="shared" si="0"/>
        <v>Eze</v>
      </c>
      <c r="J4" s="31">
        <f t="shared" si="1"/>
        <v>250.5</v>
      </c>
      <c r="K4" s="43">
        <f t="shared" si="2"/>
        <v>20</v>
      </c>
      <c r="L4" s="1"/>
      <c r="M4" s="45">
        <f>INDEX($E$2:$E$5, MATCH(I4, $A$2:$A$5, 0))</f>
        <v>2.7058823529411766</v>
      </c>
      <c r="N4" s="39">
        <f>J4 / (COUNTIFS(DATOS!E3:E22, "&gt;0",DATOS!$B$3:$B$22, "CARRERA 1") * 46.75)</f>
        <v>0.59536541889483063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250.5</v>
      </c>
      <c r="C5" s="26">
        <f>INDEX(Hoja1!$M$1:$M$250, (COUNTIF(DATOS!$J$7:$S$7, "&gt;0")-1)*13 + 12)</f>
        <v>20</v>
      </c>
      <c r="D5" s="1">
        <f>_xlfn.RANK.EQ(B5, $B$2:$B$5) + COUNTIF($B$2:B5, B5) - 1</f>
        <v>3</v>
      </c>
      <c r="E5" s="1">
        <f>+AVERAGEIF(DATOS!F$3:F$22, "&gt;0")</f>
        <v>2.7058823529411766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3.4705882352941178</v>
      </c>
      <c r="N5" s="40">
        <f>J5 / (COUNTIFS(DATOS!F3:F22, "&gt;0",DATOS!$B$3:$B$22, "CARRERA 1") * 46.75)</f>
        <v>0.49613784907902553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topLeftCell="A15" zoomScaleNormal="100" workbookViewId="0">
      <selection activeCell="E20" sqref="E2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7" t="s">
        <v>45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</row>
    <row r="2" spans="1:19">
      <c r="A2" s="108" t="s">
        <v>46</v>
      </c>
      <c r="B2" s="108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</row>
    <row r="3" spans="1:19">
      <c r="A3" s="106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06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314.5</v>
      </c>
      <c r="S4" s="1" t="e">
        <f>IF(INDEX(Hoja1!$G$1:$G$250, (COLUMN(J1)-1)*13 + 10)=0, NA(), INDEX(Hoja1!$G$1:$G$250, (COLUMN(J1)-1)*13 + 10))</f>
        <v>#N/A</v>
      </c>
    </row>
    <row r="5" spans="1:19">
      <c r="A5" s="106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 t="e">
        <f>IF(INDEX(Hoja1!$I$1:$I$250, (COLUMN(J1)-1)*13 + 10)=0, NA(), INDEX(Hoja1!$I$1:$I$250, (COLUMN(J1)-1)*13 + 10))</f>
        <v>#N/A</v>
      </c>
    </row>
    <row r="6" spans="1:19">
      <c r="A6" s="106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06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250.5</v>
      </c>
      <c r="S7" s="1" t="e">
        <f>IF(INDEX(Hoja1!$M$1:$M$250, (COLUMN(J1)-1)*13 + 10)=0, NA(), INDEX(Hoja1!$M$1:$M$250, (COLUMN(J1)-1)*13 + 10))</f>
        <v>#N/A</v>
      </c>
    </row>
    <row r="8" spans="1:19">
      <c r="A8" s="106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6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6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6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6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6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6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6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6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6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6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06" t="s">
        <v>67</v>
      </c>
      <c r="B19" s="1" t="s">
        <v>51</v>
      </c>
      <c r="C19" s="1">
        <f>Hoja1!G107</f>
        <v>1</v>
      </c>
      <c r="D19" s="1">
        <f>Hoja1!I107</f>
        <v>3</v>
      </c>
      <c r="E19" s="1">
        <f>Hoja1!K107</f>
        <v>4</v>
      </c>
      <c r="F19" s="1">
        <f>Hoja1!M107</f>
        <v>2</v>
      </c>
      <c r="G19" s="1"/>
    </row>
    <row r="20" spans="1:7">
      <c r="A20" s="106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6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6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68</v>
      </c>
      <c r="B24" s="1"/>
      <c r="C24" s="1">
        <f>+COUNTIF(C3:C22,1)</f>
        <v>7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8" t="s">
        <v>43</v>
      </c>
      <c r="B25" s="108"/>
      <c r="C25" s="108"/>
      <c r="D25" s="108"/>
      <c r="E25" s="108"/>
      <c r="F25" s="108"/>
      <c r="G25" s="1"/>
    </row>
    <row r="26" spans="1:7">
      <c r="A26" s="108" t="s">
        <v>46</v>
      </c>
      <c r="B26" s="108"/>
      <c r="C26" s="105" t="s">
        <v>47</v>
      </c>
      <c r="D26" s="105" t="s">
        <v>48</v>
      </c>
      <c r="E26" s="105" t="s">
        <v>49</v>
      </c>
      <c r="F26" s="105" t="s">
        <v>50</v>
      </c>
      <c r="G26" s="1"/>
    </row>
    <row r="27" spans="1:7">
      <c r="A27" s="106" t="s">
        <v>2</v>
      </c>
      <c r="B27" s="106" t="s">
        <v>69</v>
      </c>
      <c r="C27" s="108">
        <f>Hoja1!H5</f>
        <v>1</v>
      </c>
      <c r="D27" s="108">
        <f>Hoja1!J5</f>
        <v>0</v>
      </c>
      <c r="E27" s="108">
        <f>Hoja1!L5</f>
        <v>0</v>
      </c>
      <c r="F27" s="108">
        <f>Hoja1!N5</f>
        <v>0</v>
      </c>
      <c r="G27" s="108"/>
    </row>
    <row r="28" spans="1:7">
      <c r="A28" s="106"/>
      <c r="B28" s="106"/>
      <c r="C28" s="108"/>
      <c r="D28" s="108"/>
      <c r="E28" s="108"/>
      <c r="F28" s="108"/>
      <c r="G28" s="108"/>
    </row>
    <row r="29" spans="1:7">
      <c r="A29" s="106" t="s">
        <v>15</v>
      </c>
      <c r="B29" s="106" t="s">
        <v>69</v>
      </c>
      <c r="C29" s="108">
        <f>Hoja1!H18</f>
        <v>0</v>
      </c>
      <c r="D29" s="108">
        <f>Hoja1!J18</f>
        <v>1</v>
      </c>
      <c r="E29" s="108">
        <f>Hoja1!L18</f>
        <v>0</v>
      </c>
      <c r="F29" s="108">
        <f>Hoja1!N18</f>
        <v>0</v>
      </c>
      <c r="G29" s="108"/>
    </row>
    <row r="30" spans="1:7">
      <c r="A30" s="106"/>
      <c r="B30" s="106"/>
      <c r="C30" s="108"/>
      <c r="D30" s="108"/>
      <c r="E30" s="108"/>
      <c r="F30" s="108"/>
      <c r="G30" s="108"/>
    </row>
    <row r="31" spans="1:7">
      <c r="A31" s="106" t="s">
        <v>18</v>
      </c>
      <c r="B31" s="106" t="s">
        <v>69</v>
      </c>
      <c r="C31" s="108">
        <f>Hoja1!H31</f>
        <v>0</v>
      </c>
      <c r="D31" s="108">
        <f>Hoja1!J31</f>
        <v>1</v>
      </c>
      <c r="E31" s="108">
        <f>Hoja1!L31</f>
        <v>0</v>
      </c>
      <c r="F31" s="108">
        <f>Hoja1!N31</f>
        <v>0</v>
      </c>
      <c r="G31" s="108"/>
    </row>
    <row r="32" spans="1:7">
      <c r="A32" s="106"/>
      <c r="B32" s="106"/>
      <c r="C32" s="108"/>
      <c r="D32" s="108"/>
      <c r="E32" s="108"/>
      <c r="F32" s="108"/>
      <c r="G32" s="108"/>
    </row>
    <row r="33" spans="1:7">
      <c r="A33" s="106" t="s">
        <v>21</v>
      </c>
      <c r="B33" s="106" t="s">
        <v>69</v>
      </c>
      <c r="C33" s="108">
        <f>Hoja1!H44</f>
        <v>1</v>
      </c>
      <c r="D33" s="108">
        <f>Hoja1!J44</f>
        <v>0</v>
      </c>
      <c r="E33" s="108">
        <f>Hoja1!L44</f>
        <v>0</v>
      </c>
      <c r="F33" s="108">
        <f>Hoja1!N44</f>
        <v>0</v>
      </c>
      <c r="G33" s="108"/>
    </row>
    <row r="34" spans="1:7">
      <c r="A34" s="106"/>
      <c r="B34" s="106"/>
      <c r="C34" s="108"/>
      <c r="D34" s="108"/>
      <c r="E34" s="108"/>
      <c r="F34" s="108"/>
      <c r="G34" s="108"/>
    </row>
    <row r="35" spans="1:7">
      <c r="A35" s="106" t="s">
        <v>63</v>
      </c>
      <c r="B35" s="106" t="s">
        <v>69</v>
      </c>
      <c r="C35" s="108">
        <f>Hoja1!H57</f>
        <v>1</v>
      </c>
      <c r="D35" s="108">
        <f>Hoja1!J57</f>
        <v>0</v>
      </c>
      <c r="E35" s="108">
        <f>Hoja1!L57</f>
        <v>0</v>
      </c>
      <c r="F35" s="108">
        <f>Hoja1!N57</f>
        <v>0</v>
      </c>
      <c r="G35" s="108"/>
    </row>
    <row r="36" spans="1:7">
      <c r="A36" s="106"/>
      <c r="B36" s="106"/>
      <c r="C36" s="108"/>
      <c r="D36" s="108"/>
      <c r="E36" s="108"/>
      <c r="F36" s="108"/>
      <c r="G36" s="108"/>
    </row>
    <row r="37" spans="1:7">
      <c r="A37" s="106" t="s">
        <v>64</v>
      </c>
      <c r="B37" s="106" t="s">
        <v>69</v>
      </c>
      <c r="C37" s="108">
        <f>Hoja1!H70</f>
        <v>1</v>
      </c>
      <c r="D37" s="108">
        <f>Hoja1!J70</f>
        <v>0</v>
      </c>
      <c r="E37" s="108">
        <f>Hoja1!L70</f>
        <v>0</v>
      </c>
      <c r="F37" s="108">
        <f>Hoja1!N70</f>
        <v>0</v>
      </c>
      <c r="G37" s="108"/>
    </row>
    <row r="38" spans="1:7">
      <c r="A38" s="106"/>
      <c r="B38" s="106"/>
      <c r="C38" s="108"/>
      <c r="D38" s="108"/>
      <c r="E38" s="108"/>
      <c r="F38" s="108"/>
      <c r="G38" s="108"/>
    </row>
    <row r="39" spans="1:7">
      <c r="A39" s="106" t="s">
        <v>65</v>
      </c>
      <c r="B39" s="106" t="s">
        <v>69</v>
      </c>
      <c r="C39" s="108">
        <f>Hoja1!H83</f>
        <v>1</v>
      </c>
      <c r="D39" s="108">
        <f>Hoja1!J83</f>
        <v>0</v>
      </c>
      <c r="E39" s="108">
        <f>Hoja1!L83</f>
        <v>0</v>
      </c>
      <c r="F39" s="108">
        <f>Hoja1!N83</f>
        <v>0</v>
      </c>
      <c r="G39" s="108"/>
    </row>
    <row r="40" spans="1:7">
      <c r="A40" s="106"/>
      <c r="B40" s="106"/>
      <c r="C40" s="108"/>
      <c r="D40" s="108"/>
      <c r="E40" s="108"/>
      <c r="F40" s="108"/>
      <c r="G40" s="108"/>
    </row>
    <row r="41" spans="1:7">
      <c r="A41" s="106" t="s">
        <v>66</v>
      </c>
      <c r="B41" s="106" t="s">
        <v>69</v>
      </c>
      <c r="C41" s="108">
        <f>Hoja1!H96</f>
        <v>1</v>
      </c>
      <c r="D41" s="108">
        <f>Hoja1!J96</f>
        <v>0</v>
      </c>
      <c r="E41" s="108">
        <f>Hoja1!L96</f>
        <v>0</v>
      </c>
      <c r="F41" s="108">
        <f>Hoja1!N96</f>
        <v>0</v>
      </c>
      <c r="G41" s="108"/>
    </row>
    <row r="42" spans="1:7">
      <c r="A42" s="106"/>
      <c r="B42" s="106"/>
      <c r="C42" s="108"/>
      <c r="D42" s="108"/>
      <c r="E42" s="108"/>
      <c r="F42" s="108"/>
      <c r="G42" s="108"/>
    </row>
    <row r="43" spans="1:7">
      <c r="A43" s="106" t="s">
        <v>67</v>
      </c>
      <c r="B43" s="106" t="s">
        <v>69</v>
      </c>
      <c r="C43" s="108">
        <f>Hoja1!H109</f>
        <v>1</v>
      </c>
      <c r="D43" s="108"/>
      <c r="E43" s="108"/>
      <c r="F43" s="108"/>
      <c r="G43" s="108"/>
    </row>
    <row r="44" spans="1:7">
      <c r="A44" s="106"/>
      <c r="B44" s="106"/>
      <c r="C44" s="108"/>
      <c r="D44" s="108"/>
      <c r="E44" s="108"/>
      <c r="F44" s="108"/>
      <c r="G44" s="108"/>
    </row>
    <row r="45" spans="1:7">
      <c r="A45" s="106"/>
      <c r="B45" s="106" t="s">
        <v>69</v>
      </c>
      <c r="C45" s="108">
        <f>Hoja1!H122</f>
        <v>0</v>
      </c>
      <c r="D45" s="108"/>
      <c r="E45" s="108"/>
      <c r="F45" s="108"/>
      <c r="G45" s="108"/>
    </row>
    <row r="46" spans="1:7">
      <c r="A46" s="106"/>
      <c r="B46" s="106"/>
      <c r="C46" s="108"/>
      <c r="D46" s="108"/>
      <c r="E46" s="108"/>
      <c r="F46" s="108"/>
      <c r="G46" s="108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69</v>
      </c>
      <c r="D1" s="1" t="s">
        <v>70</v>
      </c>
      <c r="E1" s="1" t="s">
        <v>16</v>
      </c>
      <c r="F1" s="1" t="s">
        <v>71</v>
      </c>
      <c r="G1" s="1" t="s">
        <v>72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67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0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2" t="s">
        <v>67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67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67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2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8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8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8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8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5" t="s">
        <v>75</v>
      </c>
      <c r="C3" s="105" t="s">
        <v>76</v>
      </c>
      <c r="D3" s="105" t="s">
        <v>77</v>
      </c>
      <c r="E3" s="105" t="s">
        <v>78</v>
      </c>
      <c r="F3" s="1" t="s">
        <v>79</v>
      </c>
    </row>
    <row r="4" spans="1:6">
      <c r="A4" s="54" t="s">
        <v>4</v>
      </c>
      <c r="B4" s="55">
        <v>5</v>
      </c>
      <c r="C4" s="55">
        <v>4</v>
      </c>
      <c r="D4" s="56">
        <v>2</v>
      </c>
      <c r="E4" s="56">
        <v>1.6666666666666667</v>
      </c>
      <c r="F4" s="55">
        <v>7</v>
      </c>
    </row>
    <row r="5" spans="1:6">
      <c r="A5" s="54" t="s">
        <v>8</v>
      </c>
      <c r="B5" s="55">
        <v>1</v>
      </c>
      <c r="C5" s="55">
        <v>1</v>
      </c>
      <c r="D5" s="56">
        <v>2.7777777777777777</v>
      </c>
      <c r="E5" s="56">
        <v>2.75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3.3333333333333335</v>
      </c>
      <c r="E6" s="56">
        <v>3.625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1.875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C23" sqref="C23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80</v>
      </c>
      <c r="E1" s="1" t="s">
        <v>7</v>
      </c>
      <c r="F1" s="1" t="s">
        <v>8</v>
      </c>
    </row>
    <row r="2" spans="1:11">
      <c r="A2" s="106" t="s">
        <v>2</v>
      </c>
      <c r="B2" s="1" t="s">
        <v>81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6"/>
      <c r="B3" s="1" t="s">
        <v>82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6"/>
      <c r="B4" s="1" t="s">
        <v>83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6" t="s">
        <v>15</v>
      </c>
      <c r="B5" s="1" t="s">
        <v>81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6"/>
      <c r="B6" s="1" t="s">
        <v>82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6"/>
      <c r="B7" s="1" t="s">
        <v>83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6" t="s">
        <v>18</v>
      </c>
      <c r="B8" s="1" t="s">
        <v>81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6"/>
      <c r="B9" s="1" t="s">
        <v>82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6"/>
      <c r="B10" s="1" t="s">
        <v>83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6" t="s">
        <v>21</v>
      </c>
      <c r="B11" s="1" t="s">
        <v>81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6"/>
      <c r="B12" s="1" t="s">
        <v>82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6"/>
      <c r="B13" s="1" t="s">
        <v>83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6" t="s">
        <v>63</v>
      </c>
      <c r="B14" s="1" t="s">
        <v>81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06"/>
      <c r="B15" s="1" t="s">
        <v>82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1.0466338734567901E-3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1.0608989197530864E-3</v>
      </c>
    </row>
    <row r="16" spans="1:11">
      <c r="A16" s="106"/>
      <c r="B16" s="1" t="s">
        <v>83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06" t="s">
        <v>64</v>
      </c>
      <c r="B17" s="1" t="s">
        <v>81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6"/>
      <c r="B18" s="1" t="s">
        <v>82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6"/>
      <c r="B19" s="1" t="s">
        <v>83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6" t="s">
        <v>65</v>
      </c>
      <c r="B20" s="1" t="s">
        <v>81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6"/>
      <c r="B21" s="1" t="s">
        <v>82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6"/>
      <c r="B22" s="1" t="s">
        <v>83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6" t="s">
        <v>66</v>
      </c>
      <c r="B23" s="1" t="s">
        <v>81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6"/>
      <c r="B24" s="1" t="s">
        <v>82</v>
      </c>
      <c r="C24" s="131">
        <v>1.0967939814814816E-3</v>
      </c>
      <c r="D24" s="131">
        <v>1.1098379629629629E-3</v>
      </c>
      <c r="E24" s="131">
        <v>1.1312268518518518E-3</v>
      </c>
      <c r="F24" s="131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6"/>
      <c r="B25" s="1" t="s">
        <v>83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6" t="s">
        <v>67</v>
      </c>
      <c r="B26" s="1" t="s">
        <v>81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6"/>
      <c r="B27" s="1" t="s">
        <v>82</v>
      </c>
      <c r="C27" s="58">
        <v>1.1767824074074074E-3</v>
      </c>
      <c r="D27" s="58"/>
      <c r="E27" s="58"/>
      <c r="F27" s="58">
        <v>1.1896412037037036E-3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6"/>
      <c r="B28" s="1" t="s">
        <v>83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6" t="s">
        <v>21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6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6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C24" sqref="C24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84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20" t="s">
        <v>2</v>
      </c>
      <c r="B2" s="64" t="s">
        <v>81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21"/>
      <c r="B3" s="62" t="s">
        <v>82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2.1170910493827294E-5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3.5435956790123586E-5</v>
      </c>
      <c r="M3" s="1"/>
      <c r="N3" s="1"/>
      <c r="O3" s="1"/>
      <c r="P3" s="1"/>
    </row>
    <row r="4" spans="1:16">
      <c r="A4" s="121"/>
      <c r="B4" s="62" t="s">
        <v>83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20" t="s">
        <v>15</v>
      </c>
      <c r="B5" s="64" t="s">
        <v>81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21"/>
      <c r="B6" s="62" t="s">
        <v>82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22"/>
      <c r="B7" s="66" t="s">
        <v>83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21" t="s">
        <v>18</v>
      </c>
      <c r="B8" s="64" t="s">
        <v>81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21"/>
      <c r="B9" s="62" t="s">
        <v>82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22"/>
      <c r="B10" s="66" t="s">
        <v>83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21" t="s">
        <v>21</v>
      </c>
      <c r="B11" s="64" t="s">
        <v>81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21"/>
      <c r="B12" s="62" t="s">
        <v>82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21"/>
      <c r="B13" s="62" t="s">
        <v>83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20" t="s">
        <v>63</v>
      </c>
      <c r="B14" s="64" t="s">
        <v>81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21"/>
      <c r="B15" s="62" t="s">
        <v>82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22"/>
      <c r="B16" s="66" t="s">
        <v>83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21" t="s">
        <v>64</v>
      </c>
      <c r="B17" s="62" t="s">
        <v>81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21"/>
      <c r="B18" s="62" t="s">
        <v>82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21"/>
      <c r="B19" s="62" t="s">
        <v>83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20" t="s">
        <v>65</v>
      </c>
      <c r="B20" s="64" t="s">
        <v>81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21"/>
      <c r="B21" s="62" t="s">
        <v>82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21"/>
      <c r="B22" s="62" t="s">
        <v>83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20" t="s">
        <v>66</v>
      </c>
      <c r="B23" s="64" t="s">
        <v>81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21"/>
      <c r="B24" s="62" t="s">
        <v>82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22"/>
      <c r="B25" s="66" t="s">
        <v>83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21" t="s">
        <v>67</v>
      </c>
      <c r="B26" s="62" t="s">
        <v>81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21"/>
      <c r="B27" s="62" t="s">
        <v>82</v>
      </c>
      <c r="C27" s="69">
        <f>+IF('Carga Tiempos'!C27=MIN('Carga Tiempos'!$C27:$F27),'Carga Tiempos'!C27,'Carga Tiempos'!C27-MIN('Carga Tiempos'!$C27:$F27))</f>
        <v>1.1767824074074074E-3</v>
      </c>
      <c r="D27" s="68">
        <f>+IF('Carga Tiempos'!D27=MIN('Carga Tiempos'!$C27:$F27),'Carga Tiempos'!D27,'Carga Tiempos'!D27-MIN('Carga Tiempos'!$C27:$F27))</f>
        <v>-1.1767824074074074E-3</v>
      </c>
      <c r="E27" s="63">
        <f>+IF('Carga Tiempos'!E27=MIN('Carga Tiempos'!$C27:$F27),'Carga Tiempos'!E27,'Carga Tiempos'!E27-MIN('Carga Tiempos'!$C27:$F27))</f>
        <v>-1.1767824074074074E-3</v>
      </c>
      <c r="F27" s="68">
        <f>+IF('Carga Tiempos'!F27=MIN('Carga Tiempos'!$C27:$F27),'Carga Tiempos'!F27,'Carga Tiempos'!F27-MIN('Carga Tiempos'!$C27:$F27))</f>
        <v>1.2858796296296186E-5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21"/>
      <c r="B28" s="62" t="s">
        <v>83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20" t="s">
        <v>36</v>
      </c>
      <c r="B29" s="64" t="s">
        <v>81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21"/>
      <c r="B30" s="62" t="s">
        <v>82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22"/>
      <c r="B31" s="66" t="s">
        <v>83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15"/>
  <sheetViews>
    <sheetView topLeftCell="A23" workbookViewId="0">
      <selection activeCell="L50" sqref="L50"/>
    </sheetView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4" width="9.85546875" bestFit="1" customWidth="1"/>
  </cols>
  <sheetData>
    <row r="1" spans="1:22" s="1" customFormat="1" ht="34.5">
      <c r="K1" s="127" t="s">
        <v>65</v>
      </c>
      <c r="L1" s="127"/>
      <c r="M1" s="127"/>
      <c r="N1" s="127"/>
      <c r="O1" s="127"/>
      <c r="P1" s="127"/>
      <c r="Q1" s="127"/>
      <c r="R1" s="127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23" t="s">
        <v>85</v>
      </c>
      <c r="L2" s="124"/>
      <c r="M2" s="123" t="s">
        <v>86</v>
      </c>
      <c r="N2" s="124"/>
      <c r="O2" s="123" t="s">
        <v>87</v>
      </c>
      <c r="P2" s="124"/>
      <c r="Q2" s="123" t="s">
        <v>88</v>
      </c>
      <c r="R2" s="124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89</v>
      </c>
      <c r="N3" s="77">
        <v>1.2796759259259259E-3</v>
      </c>
      <c r="O3" s="86" t="s">
        <v>89</v>
      </c>
      <c r="P3" s="84">
        <v>1.4428356481481482E-3</v>
      </c>
      <c r="Q3" s="83" t="s">
        <v>89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90</v>
      </c>
      <c r="N4" s="77">
        <v>1.2429976851851853E-3</v>
      </c>
      <c r="O4" s="83" t="s">
        <v>90</v>
      </c>
      <c r="P4" s="81">
        <v>1.2858101851851852E-3</v>
      </c>
      <c r="Q4" s="83" t="s">
        <v>90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91</v>
      </c>
      <c r="N5" s="77">
        <v>1.2377777777777777E-3</v>
      </c>
      <c r="O5" s="87" t="s">
        <v>91</v>
      </c>
      <c r="P5" s="81">
        <v>1.2647453703703703E-3</v>
      </c>
      <c r="Q5" s="83" t="s">
        <v>91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92</v>
      </c>
      <c r="N6" s="77">
        <v>1.3249884259259259E-3</v>
      </c>
      <c r="O6" s="83" t="s">
        <v>92</v>
      </c>
      <c r="P6" s="81">
        <v>1.2908564814814816E-3</v>
      </c>
      <c r="Q6" s="83" t="s">
        <v>92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93</v>
      </c>
      <c r="N7" s="77">
        <v>1.2426273148148149E-3</v>
      </c>
      <c r="O7" s="87" t="s">
        <v>93</v>
      </c>
      <c r="P7" s="81">
        <v>1.2742476851851851E-3</v>
      </c>
      <c r="Q7" s="83" t="s">
        <v>93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94</v>
      </c>
      <c r="N8" s="77">
        <v>1.2478472222222222E-3</v>
      </c>
      <c r="O8" s="83" t="s">
        <v>94</v>
      </c>
      <c r="P8" s="81">
        <v>1.2452199074074073E-3</v>
      </c>
      <c r="Q8" s="83" t="s">
        <v>94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95</v>
      </c>
      <c r="N9" s="77">
        <v>1.248275462962963E-3</v>
      </c>
      <c r="O9" s="83" t="s">
        <v>95</v>
      </c>
      <c r="P9" s="81">
        <v>1.2555324074074075E-3</v>
      </c>
      <c r="Q9" s="83" t="s">
        <v>95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96</v>
      </c>
      <c r="N10" s="77">
        <v>1.2653240740740741E-3</v>
      </c>
      <c r="O10" s="87" t="s">
        <v>96</v>
      </c>
      <c r="P10" s="81">
        <v>1.2631365740740741E-3</v>
      </c>
      <c r="Q10" s="83" t="s">
        <v>96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97</v>
      </c>
      <c r="N11" s="77">
        <v>1.6837615740740741E-3</v>
      </c>
      <c r="O11" s="83" t="s">
        <v>97</v>
      </c>
      <c r="P11" s="81">
        <v>1.4671412037037036E-3</v>
      </c>
      <c r="Q11" s="83" t="s">
        <v>97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98</v>
      </c>
      <c r="N12" s="77">
        <v>1.543287037037037E-3</v>
      </c>
      <c r="O12" s="83" t="s">
        <v>98</v>
      </c>
      <c r="P12" s="81">
        <v>1.5160185185185185E-3</v>
      </c>
      <c r="Q12" s="83" t="s">
        <v>98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99</v>
      </c>
      <c r="N13" s="77">
        <v>1.9202893518518521E-3</v>
      </c>
      <c r="O13" s="83" t="s">
        <v>99</v>
      </c>
      <c r="P13" s="81">
        <v>1.9527199074074074E-3</v>
      </c>
      <c r="Q13" s="83" t="s">
        <v>99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100</v>
      </c>
      <c r="N14" s="77">
        <v>1.2480787037037037E-3</v>
      </c>
      <c r="O14" s="83" t="s">
        <v>100</v>
      </c>
      <c r="P14" s="81">
        <v>1.2462037037037036E-3</v>
      </c>
      <c r="Q14" s="83" t="s">
        <v>100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101</v>
      </c>
      <c r="N15" s="77">
        <v>1.241701388888889E-3</v>
      </c>
      <c r="O15" s="87" t="s">
        <v>101</v>
      </c>
      <c r="P15" s="81">
        <v>1.2494560185185185E-3</v>
      </c>
      <c r="Q15" s="83" t="s">
        <v>101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102</v>
      </c>
      <c r="N16" s="77">
        <v>1.2480208333333334E-3</v>
      </c>
      <c r="O16" s="88" t="s">
        <v>102</v>
      </c>
      <c r="P16" s="81">
        <v>1.2403703703703704E-3</v>
      </c>
      <c r="Q16" s="83" t="s">
        <v>102</v>
      </c>
      <c r="R16" s="81">
        <v>1.2403703703703704E-3</v>
      </c>
      <c r="S16" s="1"/>
      <c r="T16" s="1"/>
      <c r="U16" s="1"/>
      <c r="V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103</v>
      </c>
      <c r="N17" s="80">
        <v>1.2779629629629629E-3</v>
      </c>
      <c r="O17" s="85" t="s">
        <v>103</v>
      </c>
      <c r="P17" s="82">
        <v>1.2507638888888889E-3</v>
      </c>
      <c r="Q17" s="85" t="s">
        <v>103</v>
      </c>
      <c r="R17" s="82">
        <v>1.2507638888888889E-3</v>
      </c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 t="s">
        <v>104</v>
      </c>
      <c r="B24" s="1"/>
      <c r="C24" s="1"/>
      <c r="D24" s="1"/>
      <c r="E24" s="1"/>
      <c r="F24" s="1"/>
      <c r="G24" s="1"/>
      <c r="H24" s="1"/>
      <c r="I24" s="1"/>
      <c r="J24" s="1"/>
      <c r="K24" s="1" t="s">
        <v>104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34.5">
      <c r="A25" s="127" t="s">
        <v>105</v>
      </c>
      <c r="B25" s="127"/>
      <c r="C25" s="127"/>
      <c r="D25" s="127"/>
      <c r="E25" s="127"/>
      <c r="F25" s="127"/>
      <c r="G25" s="127"/>
      <c r="H25" s="127"/>
      <c r="I25" s="101"/>
      <c r="J25" s="1"/>
      <c r="K25" s="127" t="s">
        <v>106</v>
      </c>
      <c r="L25" s="127"/>
      <c r="M25" s="127"/>
      <c r="N25" s="127"/>
      <c r="O25" s="127"/>
      <c r="P25" s="127"/>
      <c r="Q25" s="127"/>
      <c r="R25" s="127"/>
      <c r="S25" s="1"/>
      <c r="T25" s="1"/>
      <c r="U25" s="1"/>
      <c r="V25" s="1"/>
      <c r="W25" s="1"/>
      <c r="X25" s="1"/>
    </row>
    <row r="26" spans="1:24" s="1" customFormat="1">
      <c r="A26" s="128" t="s">
        <v>38</v>
      </c>
      <c r="B26" s="129"/>
      <c r="C26" s="128" t="s">
        <v>38</v>
      </c>
      <c r="D26" s="129"/>
      <c r="E26" s="128" t="s">
        <v>38</v>
      </c>
      <c r="F26" s="129"/>
      <c r="G26" s="128" t="s">
        <v>38</v>
      </c>
      <c r="H26" s="129"/>
      <c r="K26" s="128" t="s">
        <v>38</v>
      </c>
      <c r="L26" s="129"/>
      <c r="M26" s="128" t="s">
        <v>38</v>
      </c>
      <c r="N26" s="129"/>
      <c r="O26" s="128" t="s">
        <v>38</v>
      </c>
      <c r="P26" s="129"/>
      <c r="Q26" s="128" t="s">
        <v>38</v>
      </c>
      <c r="R26" s="129"/>
    </row>
    <row r="27" spans="1:24">
      <c r="A27" s="123" t="s">
        <v>107</v>
      </c>
      <c r="B27" s="124"/>
      <c r="C27" s="123" t="s">
        <v>108</v>
      </c>
      <c r="D27" s="124"/>
      <c r="E27" s="125" t="s">
        <v>109</v>
      </c>
      <c r="F27" s="126"/>
      <c r="G27" s="123" t="s">
        <v>110</v>
      </c>
      <c r="H27" s="124"/>
      <c r="I27" s="1"/>
      <c r="J27" s="1"/>
      <c r="K27" s="123" t="s">
        <v>85</v>
      </c>
      <c r="L27" s="124"/>
      <c r="M27" s="123" t="s">
        <v>86</v>
      </c>
      <c r="N27" s="124"/>
      <c r="O27" s="125" t="s">
        <v>87</v>
      </c>
      <c r="P27" s="126"/>
      <c r="Q27" s="123" t="s">
        <v>88</v>
      </c>
      <c r="R27" s="124"/>
      <c r="S27" s="1"/>
      <c r="T27" s="1"/>
      <c r="U27" s="1"/>
      <c r="V27" s="1"/>
      <c r="W27" s="1"/>
      <c r="X27" s="1"/>
    </row>
    <row r="28" spans="1:24">
      <c r="A28" s="132">
        <v>1</v>
      </c>
      <c r="B28" s="131">
        <v>1.1538888888888888E-3</v>
      </c>
      <c r="C28" s="132">
        <v>1</v>
      </c>
      <c r="D28" s="131">
        <v>1.1476041666666666E-3</v>
      </c>
      <c r="E28" s="132">
        <v>1</v>
      </c>
      <c r="F28" s="131">
        <v>1.1644560185185187E-3</v>
      </c>
      <c r="G28" s="97">
        <v>1</v>
      </c>
      <c r="H28" s="98">
        <v>1.1644560185185187E-3</v>
      </c>
      <c r="I28" s="1"/>
      <c r="J28" s="1"/>
      <c r="K28" s="133">
        <v>1</v>
      </c>
      <c r="L28" s="134">
        <v>1.4355671296296297E-3</v>
      </c>
      <c r="M28" s="133">
        <v>1</v>
      </c>
      <c r="N28" s="134">
        <v>1.4123148148148148E-3</v>
      </c>
      <c r="O28" s="93">
        <v>1</v>
      </c>
      <c r="P28" s="94">
        <v>1.4081597222222223E-3</v>
      </c>
      <c r="Q28" s="133">
        <v>1</v>
      </c>
      <c r="R28" s="134">
        <v>1.4081597222222223E-3</v>
      </c>
      <c r="S28" s="92"/>
      <c r="T28" s="1"/>
      <c r="U28" s="1"/>
      <c r="V28" s="1"/>
      <c r="W28" s="1"/>
      <c r="X28" s="1"/>
    </row>
    <row r="29" spans="1:24">
      <c r="A29" s="132">
        <v>2</v>
      </c>
      <c r="B29" s="131">
        <v>1.1098379629629629E-3</v>
      </c>
      <c r="C29" s="132">
        <v>2</v>
      </c>
      <c r="D29" s="131">
        <v>1.1111458333333333E-3</v>
      </c>
      <c r="E29" s="132">
        <v>2</v>
      </c>
      <c r="F29" s="131">
        <v>1.1378703703703703E-3</v>
      </c>
      <c r="G29" s="97">
        <v>2</v>
      </c>
      <c r="H29" s="98">
        <v>1.1378703703703703E-3</v>
      </c>
      <c r="I29" s="1"/>
      <c r="J29" s="1"/>
      <c r="K29" s="133">
        <v>2</v>
      </c>
      <c r="L29" s="134">
        <v>1.1143287037037035E-3</v>
      </c>
      <c r="M29" s="133">
        <v>2</v>
      </c>
      <c r="N29" s="134">
        <v>1.1365393518518519E-3</v>
      </c>
      <c r="O29" s="93">
        <v>2</v>
      </c>
      <c r="P29" s="94">
        <v>1.1394212962962964E-3</v>
      </c>
      <c r="Q29" s="133">
        <v>2</v>
      </c>
      <c r="R29" s="134">
        <v>1.1394212962962964E-3</v>
      </c>
      <c r="S29" s="1"/>
      <c r="T29" s="1"/>
      <c r="U29" s="1"/>
      <c r="V29" s="1"/>
      <c r="W29" s="1"/>
      <c r="X29" s="1"/>
    </row>
    <row r="30" spans="1:24">
      <c r="A30" s="132">
        <v>3</v>
      </c>
      <c r="B30" s="131">
        <v>1.110173611111111E-3</v>
      </c>
      <c r="C30" s="132">
        <v>3</v>
      </c>
      <c r="D30" s="131">
        <v>1.0993171296296296E-3</v>
      </c>
      <c r="E30" s="132">
        <v>3</v>
      </c>
      <c r="F30" s="131">
        <v>1.1312268518518518E-3</v>
      </c>
      <c r="G30" s="97">
        <v>3</v>
      </c>
      <c r="H30" s="98">
        <v>1.1312268518518518E-3</v>
      </c>
      <c r="I30" s="1"/>
      <c r="J30" s="1"/>
      <c r="K30" s="133">
        <v>3</v>
      </c>
      <c r="L30" s="134">
        <v>1.1773726851851852E-3</v>
      </c>
      <c r="M30" s="133">
        <v>3</v>
      </c>
      <c r="N30" s="134">
        <v>1.1328703703703702E-3</v>
      </c>
      <c r="O30" s="93">
        <v>3</v>
      </c>
      <c r="P30" s="94">
        <v>1.1317361111111111E-3</v>
      </c>
      <c r="Q30" s="133">
        <v>3</v>
      </c>
      <c r="R30" s="134">
        <v>1.1317361111111111E-3</v>
      </c>
      <c r="S30" s="1"/>
      <c r="T30" s="1"/>
      <c r="U30" s="1"/>
      <c r="V30" s="1"/>
      <c r="W30" s="1"/>
      <c r="X30" s="1"/>
    </row>
    <row r="31" spans="1:24">
      <c r="A31" s="132">
        <v>4</v>
      </c>
      <c r="B31" s="131">
        <v>1.1127083333333334E-3</v>
      </c>
      <c r="C31" s="132">
        <v>4</v>
      </c>
      <c r="D31" s="131">
        <v>1.0976736111111111E-3</v>
      </c>
      <c r="E31" s="132">
        <v>4</v>
      </c>
      <c r="F31" s="131">
        <v>1.1532986111111112E-3</v>
      </c>
      <c r="G31" s="97">
        <v>4</v>
      </c>
      <c r="H31" s="98">
        <v>1.1532986111111112E-3</v>
      </c>
      <c r="I31" s="1"/>
      <c r="J31" s="1"/>
      <c r="K31" s="133">
        <v>4</v>
      </c>
      <c r="L31" s="134">
        <v>1.1155787037037037E-3</v>
      </c>
      <c r="M31" s="133">
        <v>4</v>
      </c>
      <c r="N31" s="134">
        <v>1.1118055555555556E-3</v>
      </c>
      <c r="O31" s="93">
        <v>4</v>
      </c>
      <c r="P31" s="94">
        <v>2.0264583333333337E-3</v>
      </c>
      <c r="Q31" s="133">
        <v>4</v>
      </c>
      <c r="R31" s="134">
        <v>2.0264583333333337E-3</v>
      </c>
      <c r="S31" s="1"/>
      <c r="T31" s="1"/>
      <c r="U31" s="1"/>
      <c r="V31" s="1"/>
      <c r="W31" s="1"/>
      <c r="X31" s="1"/>
    </row>
    <row r="32" spans="1:24">
      <c r="A32" s="132">
        <v>5</v>
      </c>
      <c r="B32" s="131">
        <v>1.1121296296296296E-3</v>
      </c>
      <c r="C32" s="132">
        <v>5</v>
      </c>
      <c r="D32" s="131">
        <v>1.1186458333333335E-3</v>
      </c>
      <c r="E32" s="132">
        <v>5</v>
      </c>
      <c r="F32" s="131">
        <v>1.1660416666666668E-3</v>
      </c>
      <c r="G32" s="97">
        <v>5</v>
      </c>
      <c r="H32" s="98">
        <v>1.1660416666666668E-3</v>
      </c>
      <c r="I32" s="1"/>
      <c r="J32" s="1"/>
      <c r="K32" s="133">
        <v>5</v>
      </c>
      <c r="L32" s="134">
        <v>1.1346180555555556E-3</v>
      </c>
      <c r="M32" s="133">
        <v>5</v>
      </c>
      <c r="N32" s="134">
        <v>1.0958333333333334E-3</v>
      </c>
      <c r="O32" s="93">
        <v>5</v>
      </c>
      <c r="P32" s="94">
        <v>1.198900462962963E-3</v>
      </c>
      <c r="Q32" s="133">
        <v>5</v>
      </c>
      <c r="R32" s="134">
        <v>1.198900462962963E-3</v>
      </c>
      <c r="S32" s="1"/>
      <c r="T32" s="1"/>
      <c r="U32" s="1"/>
      <c r="V32" s="1"/>
      <c r="W32" s="58">
        <f>+SUM(D52*1.15)</f>
        <v>1.2835391865079365E-3</v>
      </c>
      <c r="X32" s="1"/>
    </row>
    <row r="33" spans="1:24">
      <c r="A33" s="132">
        <v>6</v>
      </c>
      <c r="B33" s="131">
        <v>1.1231828703703705E-3</v>
      </c>
      <c r="C33" s="132">
        <v>6</v>
      </c>
      <c r="D33" s="131">
        <v>1.1192708333333332E-3</v>
      </c>
      <c r="E33" s="132">
        <v>6</v>
      </c>
      <c r="F33" s="131">
        <v>1.1783333333333333E-3</v>
      </c>
      <c r="G33" s="97">
        <v>6</v>
      </c>
      <c r="H33" s="98">
        <v>1.1783333333333333E-3</v>
      </c>
      <c r="I33" s="1"/>
      <c r="J33" s="1"/>
      <c r="K33" s="133">
        <v>6</v>
      </c>
      <c r="L33" s="134">
        <v>1.1811458333333333E-3</v>
      </c>
      <c r="M33" s="133">
        <v>6</v>
      </c>
      <c r="N33" s="134">
        <v>1.1103587962962964E-3</v>
      </c>
      <c r="O33" s="93">
        <v>6</v>
      </c>
      <c r="P33" s="94">
        <v>1.3676157407407409E-3</v>
      </c>
      <c r="Q33" s="133">
        <v>6</v>
      </c>
      <c r="R33" s="134">
        <v>1.3676157407407409E-3</v>
      </c>
      <c r="S33" s="1"/>
      <c r="T33" s="1"/>
      <c r="U33" s="1"/>
      <c r="V33" s="1"/>
      <c r="W33" s="1"/>
      <c r="X33" s="1"/>
    </row>
    <row r="34" spans="1:24">
      <c r="A34" s="132">
        <v>7</v>
      </c>
      <c r="B34" s="131">
        <v>1.1183564814814815E-3</v>
      </c>
      <c r="C34" s="132">
        <v>7</v>
      </c>
      <c r="D34" s="131">
        <v>1.1119675925925926E-3</v>
      </c>
      <c r="E34" s="132">
        <v>7</v>
      </c>
      <c r="F34" s="131">
        <v>1.1461342592592593E-3</v>
      </c>
      <c r="G34" s="97">
        <v>7</v>
      </c>
      <c r="H34" s="98">
        <v>1.1461342592592593E-3</v>
      </c>
      <c r="I34" s="1"/>
      <c r="J34" s="1"/>
      <c r="K34" s="133">
        <v>7</v>
      </c>
      <c r="L34" s="134">
        <v>1.1964467592592591E-3</v>
      </c>
      <c r="M34" s="133">
        <v>7</v>
      </c>
      <c r="N34" s="134">
        <v>1.1330787037037036E-3</v>
      </c>
      <c r="O34" s="93">
        <v>7</v>
      </c>
      <c r="P34" s="94">
        <v>1.2607407407407407E-3</v>
      </c>
      <c r="Q34" s="133">
        <v>7</v>
      </c>
      <c r="R34" s="134">
        <v>1.2607407407407407E-3</v>
      </c>
      <c r="S34" s="1"/>
      <c r="T34" s="1"/>
      <c r="U34" s="1"/>
      <c r="V34" s="1"/>
      <c r="W34" s="1"/>
      <c r="X34" s="1"/>
    </row>
    <row r="35" spans="1:24">
      <c r="A35" s="132">
        <v>8</v>
      </c>
      <c r="B35" s="131">
        <v>1.124398148148148E-3</v>
      </c>
      <c r="C35" s="132">
        <v>8</v>
      </c>
      <c r="D35" s="131">
        <v>1.1048148148148148E-3</v>
      </c>
      <c r="E35" s="132">
        <v>8</v>
      </c>
      <c r="F35" s="131">
        <v>1.2261226851851851E-3</v>
      </c>
      <c r="G35" s="97">
        <v>8</v>
      </c>
      <c r="H35" s="98">
        <v>1.2261226851851851E-3</v>
      </c>
      <c r="I35" s="1"/>
      <c r="J35" s="1"/>
      <c r="K35" s="133">
        <v>8</v>
      </c>
      <c r="L35" s="134">
        <v>1.1544097222222223E-3</v>
      </c>
      <c r="M35" s="133">
        <v>8</v>
      </c>
      <c r="N35" s="134">
        <v>1.1489930555555554E-3</v>
      </c>
      <c r="O35" s="93">
        <v>8</v>
      </c>
      <c r="P35" s="94">
        <v>1.1238657407407408E-3</v>
      </c>
      <c r="Q35" s="133">
        <v>8</v>
      </c>
      <c r="R35" s="134">
        <v>1.1238657407407408E-3</v>
      </c>
      <c r="S35" s="1"/>
      <c r="T35" s="1"/>
      <c r="U35" s="1"/>
      <c r="V35" s="1"/>
      <c r="W35" s="58">
        <f>+SUM(F50*1.05)</f>
        <v>1.2315920138888891E-3</v>
      </c>
      <c r="X35" s="1"/>
    </row>
    <row r="36" spans="1:24">
      <c r="A36" s="132">
        <v>9</v>
      </c>
      <c r="B36" s="131">
        <v>1.2592476851851853E-3</v>
      </c>
      <c r="C36" s="132">
        <v>9</v>
      </c>
      <c r="D36" s="131">
        <v>1.0967939814814816E-3</v>
      </c>
      <c r="E36" s="132">
        <v>9</v>
      </c>
      <c r="F36" s="131">
        <v>1.1561111111111112E-3</v>
      </c>
      <c r="G36" s="97">
        <v>9</v>
      </c>
      <c r="H36" s="98">
        <v>1.1561111111111112E-3</v>
      </c>
      <c r="I36" s="1"/>
      <c r="J36" s="1"/>
      <c r="K36" s="133">
        <v>9</v>
      </c>
      <c r="L36" s="134">
        <v>1.2505092592592592E-3</v>
      </c>
      <c r="M36" s="133">
        <v>9</v>
      </c>
      <c r="N36" s="134">
        <v>1.1331134259259261E-3</v>
      </c>
      <c r="O36" s="93">
        <v>9</v>
      </c>
      <c r="P36" s="94">
        <v>1.2741203703703703E-3</v>
      </c>
      <c r="Q36" s="133">
        <v>9</v>
      </c>
      <c r="R36" s="134">
        <v>1.2741203703703703E-3</v>
      </c>
      <c r="S36" s="1"/>
      <c r="T36" s="1"/>
      <c r="U36" s="1"/>
      <c r="V36" s="1"/>
      <c r="W36" s="1"/>
      <c r="X36" s="1"/>
    </row>
    <row r="37" spans="1:24">
      <c r="A37" s="132">
        <v>10</v>
      </c>
      <c r="B37" s="131">
        <v>1.1363194444444444E-3</v>
      </c>
      <c r="C37" s="132">
        <v>10</v>
      </c>
      <c r="D37" s="131">
        <v>1.1534143518518519E-3</v>
      </c>
      <c r="E37" s="132">
        <v>10</v>
      </c>
      <c r="F37" s="131">
        <v>1.1621296296296297E-3</v>
      </c>
      <c r="G37" s="97">
        <v>10</v>
      </c>
      <c r="H37" s="98">
        <v>1.1621296296296297E-3</v>
      </c>
      <c r="I37" s="1"/>
      <c r="J37" s="1"/>
      <c r="K37" s="133">
        <v>10</v>
      </c>
      <c r="L37" s="134">
        <v>1.1465856481481481E-3</v>
      </c>
      <c r="M37" s="133">
        <v>10</v>
      </c>
      <c r="N37" s="134">
        <v>1.1556481481481481E-3</v>
      </c>
      <c r="O37" s="93">
        <v>10</v>
      </c>
      <c r="P37" s="94">
        <v>1.1596180555555557E-3</v>
      </c>
      <c r="Q37" s="133">
        <v>10</v>
      </c>
      <c r="R37" s="134">
        <v>1.1596180555555557E-3</v>
      </c>
      <c r="S37" s="1"/>
      <c r="T37" s="1"/>
      <c r="U37" s="1"/>
      <c r="V37" s="1"/>
      <c r="W37" s="1"/>
      <c r="X37" s="1"/>
    </row>
    <row r="38" spans="1:24">
      <c r="A38" s="132">
        <v>11</v>
      </c>
      <c r="B38" s="131">
        <v>1.3982291666666668E-3</v>
      </c>
      <c r="C38" s="132">
        <v>11</v>
      </c>
      <c r="D38" s="131">
        <v>1.2330902777777778E-3</v>
      </c>
      <c r="E38" s="132">
        <v>11</v>
      </c>
      <c r="F38" s="131">
        <v>1.2419907407407406E-3</v>
      </c>
      <c r="G38" s="97">
        <v>11</v>
      </c>
      <c r="H38" s="98">
        <v>1.2419907407407406E-3</v>
      </c>
      <c r="I38" s="1"/>
      <c r="J38" s="1"/>
      <c r="K38" s="133">
        <v>11</v>
      </c>
      <c r="L38" s="134">
        <v>1.1611226851851852E-3</v>
      </c>
      <c r="M38" s="133">
        <v>11</v>
      </c>
      <c r="N38" s="134">
        <v>1.2279976851851851E-3</v>
      </c>
      <c r="O38" s="93">
        <v>11</v>
      </c>
      <c r="P38" s="94">
        <v>2.1243171296296296E-3</v>
      </c>
      <c r="Q38" s="133">
        <v>11</v>
      </c>
      <c r="R38" s="134">
        <v>2.1243171296296296E-3</v>
      </c>
      <c r="S38" s="1"/>
      <c r="T38" s="1"/>
      <c r="U38" s="1"/>
      <c r="V38" s="1"/>
      <c r="W38" s="58"/>
      <c r="X38" s="1"/>
    </row>
    <row r="39" spans="1:24">
      <c r="A39" s="132">
        <v>12</v>
      </c>
      <c r="B39" s="131">
        <v>1.5461458333333332E-3</v>
      </c>
      <c r="C39" s="132">
        <v>12</v>
      </c>
      <c r="D39" s="131">
        <v>1.9078009259259261E-3</v>
      </c>
      <c r="E39" s="132">
        <v>12</v>
      </c>
      <c r="F39" s="131">
        <v>1.4453819444444444E-3</v>
      </c>
      <c r="G39" s="97">
        <v>12</v>
      </c>
      <c r="H39" s="98">
        <v>1.4453819444444444E-3</v>
      </c>
      <c r="I39" s="1"/>
      <c r="J39" s="1"/>
      <c r="K39" s="133">
        <v>12</v>
      </c>
      <c r="L39" s="134">
        <v>1.3398611111111113E-3</v>
      </c>
      <c r="M39" s="133">
        <v>12</v>
      </c>
      <c r="N39" s="134">
        <v>1.310949074074074E-3</v>
      </c>
      <c r="O39" s="93">
        <v>12</v>
      </c>
      <c r="P39" s="94">
        <v>1.4692245370370371E-3</v>
      </c>
      <c r="Q39" s="133">
        <v>12</v>
      </c>
      <c r="R39" s="134">
        <v>1.4692245370370371E-3</v>
      </c>
      <c r="S39" s="1"/>
      <c r="T39" s="1"/>
      <c r="U39" s="1"/>
      <c r="V39" s="1"/>
      <c r="W39" s="58">
        <f>+SUM(F54*1.1)</f>
        <v>1.2443495370370371E-3</v>
      </c>
      <c r="X39" s="1"/>
    </row>
    <row r="40" spans="1:24">
      <c r="A40" s="132">
        <v>13</v>
      </c>
      <c r="B40" s="131">
        <v>1.2216550925925925E-3</v>
      </c>
      <c r="C40" s="132">
        <v>13</v>
      </c>
      <c r="D40" s="131">
        <v>1.2544560185185185E-3</v>
      </c>
      <c r="E40" s="132">
        <v>13</v>
      </c>
      <c r="F40" s="131">
        <v>1.2557175925925926E-3</v>
      </c>
      <c r="G40" s="97">
        <v>13</v>
      </c>
      <c r="H40" s="98">
        <v>1.2557175925925926E-3</v>
      </c>
      <c r="I40" s="1"/>
      <c r="J40" s="1"/>
      <c r="K40" s="133">
        <v>13</v>
      </c>
      <c r="L40" s="134">
        <v>3.8921759259259257E-3</v>
      </c>
      <c r="M40" s="133">
        <v>13</v>
      </c>
      <c r="N40" s="134">
        <v>4.1754282407407408E-3</v>
      </c>
      <c r="O40" s="93">
        <v>13</v>
      </c>
      <c r="P40" s="94">
        <v>1.6091435185185184E-3</v>
      </c>
      <c r="Q40" s="133">
        <v>13</v>
      </c>
      <c r="R40" s="134">
        <v>1.6091435185185184E-3</v>
      </c>
      <c r="S40" s="1"/>
      <c r="T40" s="1"/>
      <c r="U40" s="1"/>
      <c r="V40" s="1"/>
      <c r="W40" s="1"/>
      <c r="X40" s="1"/>
    </row>
    <row r="41" spans="1:24">
      <c r="A41" s="132">
        <v>14</v>
      </c>
      <c r="B41" s="131">
        <v>1.1457523148148147E-3</v>
      </c>
      <c r="C41" s="132">
        <v>14</v>
      </c>
      <c r="D41" s="131">
        <v>1.1745949074074074E-3</v>
      </c>
      <c r="E41" s="132">
        <v>14</v>
      </c>
      <c r="F41" s="131">
        <v>1.1743055555555556E-3</v>
      </c>
      <c r="G41" s="97">
        <v>14</v>
      </c>
      <c r="H41" s="98">
        <v>1.1743055555555556E-3</v>
      </c>
      <c r="I41" s="1"/>
      <c r="J41" s="1"/>
      <c r="K41" s="133">
        <v>14</v>
      </c>
      <c r="L41" s="134">
        <v>1.1608564814814815E-3</v>
      </c>
      <c r="M41" s="133">
        <v>14</v>
      </c>
      <c r="N41" s="134">
        <v>1.1806365740740742E-3</v>
      </c>
      <c r="O41" s="93">
        <v>14</v>
      </c>
      <c r="P41" s="94">
        <v>1.1635069444444444E-3</v>
      </c>
      <c r="Q41" s="133">
        <v>14</v>
      </c>
      <c r="R41" s="134">
        <v>1.1635069444444444E-3</v>
      </c>
      <c r="S41" s="1"/>
      <c r="T41" s="1"/>
      <c r="U41" s="1"/>
      <c r="V41" s="1"/>
      <c r="W41" s="1"/>
      <c r="X41" s="1"/>
    </row>
    <row r="42" spans="1:24">
      <c r="A42" s="132">
        <v>15</v>
      </c>
      <c r="B42" s="131">
        <v>1.5789930555555557E-3</v>
      </c>
      <c r="C42" s="132">
        <v>15</v>
      </c>
      <c r="D42" s="131">
        <v>1.544236111111111E-3</v>
      </c>
      <c r="E42" s="132">
        <v>15</v>
      </c>
      <c r="F42" s="131">
        <v>1.5701967592592592E-3</v>
      </c>
      <c r="G42" s="97">
        <v>15</v>
      </c>
      <c r="H42" s="98">
        <v>1.5701967592592592E-3</v>
      </c>
      <c r="I42" s="1"/>
      <c r="J42" s="1"/>
      <c r="K42" s="133">
        <v>15</v>
      </c>
      <c r="L42" s="134">
        <v>1.1989930555555556E-3</v>
      </c>
      <c r="M42" s="133">
        <v>15</v>
      </c>
      <c r="N42" s="134">
        <v>1.1869444444444445E-3</v>
      </c>
      <c r="O42" s="93">
        <v>15</v>
      </c>
      <c r="P42" s="94">
        <v>1.1449421296296297E-3</v>
      </c>
      <c r="Q42" s="133">
        <v>15</v>
      </c>
      <c r="R42" s="134">
        <v>1.1449421296296297E-3</v>
      </c>
      <c r="S42" s="1"/>
      <c r="T42" s="1"/>
      <c r="U42" s="1"/>
      <c r="V42" s="1"/>
      <c r="W42" s="1"/>
      <c r="X42" s="1"/>
    </row>
    <row r="43" spans="1:24">
      <c r="A43" s="132">
        <v>16</v>
      </c>
      <c r="B43" s="131">
        <v>1.1158217592592591E-3</v>
      </c>
      <c r="C43" s="132">
        <v>16</v>
      </c>
      <c r="D43" s="131">
        <v>1.1127083333333334E-3</v>
      </c>
      <c r="E43" s="132">
        <v>16</v>
      </c>
      <c r="F43" s="131">
        <v>1.2513888888888889E-3</v>
      </c>
      <c r="G43" s="97">
        <v>16</v>
      </c>
      <c r="H43" s="98">
        <v>1.2513888888888889E-3</v>
      </c>
      <c r="I43" s="1"/>
      <c r="J43" s="1"/>
      <c r="K43" s="133">
        <v>16</v>
      </c>
      <c r="L43" s="134">
        <v>1.1175E-3</v>
      </c>
      <c r="M43" s="133">
        <v>16</v>
      </c>
      <c r="N43" s="134">
        <v>1.1115046296296296E-3</v>
      </c>
      <c r="O43" s="93">
        <v>16</v>
      </c>
      <c r="P43" s="94">
        <v>1.140324074074074E-3</v>
      </c>
      <c r="Q43" s="133">
        <v>16</v>
      </c>
      <c r="R43" s="134">
        <v>1.140324074074074E-3</v>
      </c>
      <c r="S43" s="1"/>
      <c r="T43" s="1"/>
      <c r="U43" s="1"/>
      <c r="V43" s="1"/>
      <c r="W43" s="1"/>
      <c r="X43" s="1"/>
    </row>
    <row r="44" spans="1:24">
      <c r="A44" s="132">
        <v>17</v>
      </c>
      <c r="B44" s="131">
        <v>1.1162731481481481E-3</v>
      </c>
      <c r="C44" s="132">
        <v>17</v>
      </c>
      <c r="D44" s="131">
        <v>1.1204629629629629E-3</v>
      </c>
      <c r="E44" s="132">
        <v>17</v>
      </c>
      <c r="F44" s="131">
        <v>1.1524421296296296E-3</v>
      </c>
      <c r="G44" s="97">
        <v>17</v>
      </c>
      <c r="H44" s="98">
        <v>1.1524421296296296E-3</v>
      </c>
      <c r="I44" s="1"/>
      <c r="J44" s="1"/>
      <c r="K44" s="133">
        <v>17</v>
      </c>
      <c r="L44" s="134">
        <v>1.133587962962963E-3</v>
      </c>
      <c r="M44" s="133">
        <v>17</v>
      </c>
      <c r="N44" s="134">
        <v>1.1427777777777777E-3</v>
      </c>
      <c r="O44" s="93">
        <v>17</v>
      </c>
      <c r="P44" s="94">
        <v>1.1632407407407407E-3</v>
      </c>
      <c r="Q44" s="133">
        <v>17</v>
      </c>
      <c r="R44" s="134">
        <v>1.1632407407407407E-3</v>
      </c>
      <c r="S44" s="58"/>
      <c r="T44" s="1"/>
      <c r="U44" s="1"/>
      <c r="V44" s="1"/>
      <c r="W44" s="1"/>
      <c r="X44" s="1"/>
    </row>
    <row r="45" spans="1:24">
      <c r="A45" s="132">
        <v>18</v>
      </c>
      <c r="B45" s="131">
        <v>1.114398148148148E-3</v>
      </c>
      <c r="C45" s="132">
        <v>18</v>
      </c>
      <c r="D45" s="131">
        <v>1.1069444444444445E-3</v>
      </c>
      <c r="E45" s="132">
        <v>18</v>
      </c>
      <c r="F45" s="131">
        <v>1.1676157407407408E-3</v>
      </c>
      <c r="G45" s="97">
        <v>18</v>
      </c>
      <c r="H45" s="98">
        <v>1.1676157407407408E-3</v>
      </c>
      <c r="I45" s="1"/>
      <c r="J45" s="1"/>
      <c r="K45" s="133">
        <v>18</v>
      </c>
      <c r="L45" s="134">
        <v>1.1378240740740741E-3</v>
      </c>
      <c r="M45" s="133">
        <v>18</v>
      </c>
      <c r="N45" s="134">
        <v>1.1362962962962963E-3</v>
      </c>
      <c r="O45" s="93">
        <v>18</v>
      </c>
      <c r="P45" s="94">
        <v>1.1319444444444443E-3</v>
      </c>
      <c r="Q45" s="133">
        <v>18</v>
      </c>
      <c r="R45" s="134">
        <v>1.1319444444444443E-3</v>
      </c>
      <c r="S45" s="58"/>
      <c r="T45" s="1"/>
      <c r="U45" s="1"/>
      <c r="V45" s="1"/>
      <c r="W45" s="1"/>
      <c r="X45" s="1"/>
    </row>
    <row r="46" spans="1:24">
      <c r="A46" s="132">
        <v>19</v>
      </c>
      <c r="B46" s="131">
        <v>1.1236805555555555E-3</v>
      </c>
      <c r="C46" s="132">
        <v>19</v>
      </c>
      <c r="D46" s="131">
        <v>1.1092129629629629E-3</v>
      </c>
      <c r="E46" s="132">
        <v>19</v>
      </c>
      <c r="F46" s="131">
        <v>1.1594328703703703E-3</v>
      </c>
      <c r="G46" s="97">
        <v>19</v>
      </c>
      <c r="H46" s="98">
        <v>1.1594328703703703E-3</v>
      </c>
      <c r="I46" s="1"/>
      <c r="J46" s="1"/>
      <c r="K46" s="133">
        <v>19</v>
      </c>
      <c r="L46" s="134">
        <v>1.1439699074074073E-3</v>
      </c>
      <c r="M46" s="133">
        <v>19</v>
      </c>
      <c r="N46" s="134">
        <v>1.1471990740740739E-3</v>
      </c>
      <c r="O46" s="93">
        <v>19</v>
      </c>
      <c r="P46" s="94">
        <v>1.149375E-3</v>
      </c>
      <c r="Q46" s="133">
        <v>19</v>
      </c>
      <c r="R46" s="134">
        <v>1.149375E-3</v>
      </c>
      <c r="S46" s="58"/>
      <c r="T46" s="1"/>
      <c r="U46" s="1"/>
      <c r="V46" s="1"/>
      <c r="W46" s="58">
        <v>1.0964814814814813E-3</v>
      </c>
      <c r="X46" s="58">
        <f>+SUM(W46*1.05)</f>
        <v>1.1513055555555554E-3</v>
      </c>
    </row>
    <row r="47" spans="1:24">
      <c r="A47" s="132">
        <v>20</v>
      </c>
      <c r="B47" s="131">
        <v>1.1430092592592592E-3</v>
      </c>
      <c r="C47" s="132">
        <v>20</v>
      </c>
      <c r="D47" s="131">
        <v>1.1691319444444444E-3</v>
      </c>
      <c r="E47" s="132">
        <v>20</v>
      </c>
      <c r="F47" s="131">
        <v>1.2307523148148149E-3</v>
      </c>
      <c r="G47" s="97">
        <v>20</v>
      </c>
      <c r="H47" s="98">
        <v>1.2307523148148149E-3</v>
      </c>
      <c r="I47" s="1"/>
      <c r="J47" s="1"/>
      <c r="K47" s="135">
        <v>20</v>
      </c>
      <c r="L47" s="136">
        <v>1.1290277777777778E-3</v>
      </c>
      <c r="M47" s="135">
        <v>20</v>
      </c>
      <c r="N47" s="136">
        <v>1.1019907407407408E-3</v>
      </c>
      <c r="O47" s="95">
        <v>20</v>
      </c>
      <c r="P47" s="96">
        <v>1.1516666666666665E-3</v>
      </c>
      <c r="Q47" s="135">
        <v>20</v>
      </c>
      <c r="R47" s="136">
        <v>1.1516666666666665E-3</v>
      </c>
      <c r="S47" s="1"/>
      <c r="T47" s="1"/>
      <c r="U47" s="1"/>
      <c r="V47" s="1"/>
      <c r="W47" s="1"/>
      <c r="X47" s="58">
        <f>+SUM(W46*1.7)</f>
        <v>1.8640185185185181E-3</v>
      </c>
    </row>
    <row r="48" spans="1:24">
      <c r="A48" s="1"/>
      <c r="B48" s="89"/>
      <c r="C48" s="90"/>
      <c r="D48" s="91"/>
      <c r="E48" s="90"/>
      <c r="F48" s="91"/>
      <c r="G48" s="1"/>
      <c r="H48" s="9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5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 t="s">
        <v>111</v>
      </c>
      <c r="B50" s="58">
        <f>+AVERAGE(B28:B36,B43:B47)</f>
        <v>1.1312218915343914E-3</v>
      </c>
      <c r="C50" s="1"/>
      <c r="D50" s="58">
        <f>+AVERAGE(D28:D36,D43:D47)</f>
        <v>1.1161210317460319E-3</v>
      </c>
      <c r="E50" s="1"/>
      <c r="F50" s="58">
        <f>+AVERAGE(F28:F36,F43:F47)</f>
        <v>1.1729447751322752E-3</v>
      </c>
      <c r="G50" s="1"/>
      <c r="H50" s="58">
        <f>+AVERAGE(H28:H36,H43:H47)</f>
        <v>1.1729447751322752E-3</v>
      </c>
      <c r="I50" s="1"/>
      <c r="J50" s="1"/>
      <c r="K50" s="1" t="s">
        <v>111</v>
      </c>
      <c r="L50" s="58">
        <f>+AVERAGE(L28:L38,L41:L47)</f>
        <v>1.1716358024691359E-3</v>
      </c>
      <c r="M50" s="1"/>
      <c r="N50" s="58">
        <f>+AVERAGE(N28:N38,N41:N47)</f>
        <v>1.1558834876543207E-3</v>
      </c>
      <c r="O50" s="1"/>
      <c r="P50" s="58">
        <f>+AVERAGE(P28:P38,P41:P47)</f>
        <v>1.2922196502057615E-3</v>
      </c>
      <c r="Q50" s="1"/>
      <c r="R50" s="58">
        <f>+AVERAGE(R28:R38,R41:R47)</f>
        <v>1.2922196502057615E-3</v>
      </c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91">
        <f>+SUM(B50-D50)</f>
        <v>1.5100859788359528E-5</v>
      </c>
      <c r="C52" s="90"/>
      <c r="D52" s="58">
        <v>1.1161210317460319E-3</v>
      </c>
      <c r="E52" s="90"/>
      <c r="F52" s="91">
        <f>+SUM(F50-D50)</f>
        <v>5.6823743386243304E-5</v>
      </c>
      <c r="G52" s="1"/>
      <c r="H52" s="91">
        <f>+SUM(H50-D50)</f>
        <v>5.6823743386243304E-5</v>
      </c>
      <c r="I52" s="1"/>
      <c r="J52" s="1"/>
      <c r="K52" s="1"/>
      <c r="L52" s="91">
        <f>+SUM(L50-N50)</f>
        <v>1.5752314814815229E-5</v>
      </c>
      <c r="M52" s="90"/>
      <c r="N52" s="58">
        <v>1.1558834876543207E-3</v>
      </c>
      <c r="O52" s="90"/>
      <c r="P52" s="91">
        <f>+SUM(P50-N50)</f>
        <v>1.3633616255144076E-4</v>
      </c>
      <c r="Q52" s="1"/>
      <c r="R52" s="91">
        <f>+SUM(R50-N50)</f>
        <v>1.3633616255144076E-4</v>
      </c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90" t="s">
        <v>112</v>
      </c>
      <c r="B54" s="58">
        <f>+SMALL(B28:B47,1)</f>
        <v>1.1098379629629629E-3</v>
      </c>
      <c r="C54" s="1"/>
      <c r="D54" s="58">
        <f>+SMALL(D28:D47,1)</f>
        <v>1.0967939814814816E-3</v>
      </c>
      <c r="E54" s="1"/>
      <c r="F54" s="58">
        <f>+SMALL(F28:F47,1)</f>
        <v>1.1312268518518518E-3</v>
      </c>
      <c r="G54" s="1"/>
      <c r="H54" s="58">
        <f>+SMALL(H28:H47,1)</f>
        <v>1.1312268518518518E-3</v>
      </c>
      <c r="I54" s="1"/>
      <c r="J54" s="1"/>
      <c r="K54" s="90" t="s">
        <v>112</v>
      </c>
      <c r="L54" s="58">
        <f>+SMALL(L28:L47,1)</f>
        <v>1.1143287037037035E-3</v>
      </c>
      <c r="M54" s="1"/>
      <c r="N54" s="58">
        <f>+SMALL(N28:N47,1)</f>
        <v>1.0958333333333334E-3</v>
      </c>
      <c r="O54" s="1"/>
      <c r="P54" s="58">
        <f>+SMALL(P28:P47,1)</f>
        <v>1.1238657407407408E-3</v>
      </c>
      <c r="Q54" s="1"/>
      <c r="R54" s="58">
        <f>+SMALL(R28:R47,1)</f>
        <v>1.1238657407407408E-3</v>
      </c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34.5">
      <c r="A57" s="127" t="s">
        <v>113</v>
      </c>
      <c r="B57" s="127"/>
      <c r="C57" s="127"/>
      <c r="D57" s="127"/>
      <c r="E57" s="127"/>
      <c r="F57" s="127"/>
      <c r="G57" s="127"/>
      <c r="H57" s="127"/>
      <c r="I57" s="1"/>
      <c r="J57" s="1"/>
      <c r="K57" s="127" t="s">
        <v>114</v>
      </c>
      <c r="L57" s="127"/>
      <c r="M57" s="127"/>
      <c r="N57" s="127"/>
      <c r="O57" s="127"/>
      <c r="P57" s="127"/>
      <c r="Q57" s="127"/>
      <c r="R57" s="127"/>
      <c r="S57" s="1"/>
      <c r="T57" s="1"/>
      <c r="U57" s="1"/>
      <c r="V57" s="1"/>
      <c r="W57" s="1"/>
      <c r="X57" s="1"/>
    </row>
    <row r="58" spans="1:24">
      <c r="A58" s="123" t="s">
        <v>107</v>
      </c>
      <c r="B58" s="124"/>
      <c r="C58" s="123" t="s">
        <v>108</v>
      </c>
      <c r="D58" s="124"/>
      <c r="E58" s="125" t="s">
        <v>109</v>
      </c>
      <c r="F58" s="126"/>
      <c r="G58" s="123" t="s">
        <v>110</v>
      </c>
      <c r="H58" s="124"/>
      <c r="I58" s="1"/>
      <c r="J58" s="1"/>
      <c r="K58" s="123"/>
      <c r="L58" s="124"/>
      <c r="M58" s="123" t="s">
        <v>4</v>
      </c>
      <c r="N58" s="124"/>
      <c r="O58" s="125"/>
      <c r="P58" s="126"/>
      <c r="Q58" s="123" t="s">
        <v>80</v>
      </c>
      <c r="R58" s="124"/>
      <c r="S58" s="1"/>
      <c r="T58" s="1"/>
      <c r="U58" s="1"/>
      <c r="V58" s="1"/>
      <c r="W58" s="1"/>
      <c r="X58" s="1"/>
    </row>
    <row r="59" spans="1:24">
      <c r="A59" s="1"/>
      <c r="B59" s="1"/>
      <c r="C59" s="132">
        <v>1</v>
      </c>
      <c r="D59" s="58">
        <v>1.9520833333333332E-3</v>
      </c>
      <c r="E59" s="1"/>
      <c r="F59" s="1"/>
      <c r="G59" s="132">
        <v>1</v>
      </c>
      <c r="H59" s="131">
        <v>1.9796875000000001E-3</v>
      </c>
      <c r="I59" s="1"/>
      <c r="J59" s="1"/>
      <c r="K59" s="1"/>
      <c r="L59" s="1"/>
      <c r="M59" s="1">
        <v>1</v>
      </c>
      <c r="N59" s="58">
        <v>1.4361342592592592E-3</v>
      </c>
      <c r="O59" s="1"/>
      <c r="P59" s="1"/>
      <c r="Q59" s="1">
        <v>1</v>
      </c>
      <c r="R59" s="58">
        <v>1.4263888888888889E-3</v>
      </c>
      <c r="S59" s="1"/>
      <c r="T59" s="1"/>
      <c r="U59" s="1"/>
      <c r="V59" s="1"/>
      <c r="W59" s="1"/>
      <c r="X59" s="1"/>
    </row>
    <row r="60" spans="1:24">
      <c r="A60" s="1"/>
      <c r="B60" s="1"/>
      <c r="C60" s="132">
        <v>2</v>
      </c>
      <c r="D60" s="58">
        <v>1.1939004629629628E-3</v>
      </c>
      <c r="E60" s="1"/>
      <c r="F60" s="1"/>
      <c r="G60" s="132">
        <v>2</v>
      </c>
      <c r="H60" s="131">
        <v>1.2236342592592594E-3</v>
      </c>
      <c r="I60" s="1"/>
      <c r="J60" s="1"/>
      <c r="K60" s="1"/>
      <c r="L60" s="1"/>
      <c r="M60" s="1">
        <v>2</v>
      </c>
      <c r="N60" s="58">
        <v>9.4768518518518509E-4</v>
      </c>
      <c r="O60" s="1"/>
      <c r="P60" s="1"/>
      <c r="Q60" s="1">
        <v>2</v>
      </c>
      <c r="R60" s="58">
        <v>9.1004629629629628E-4</v>
      </c>
      <c r="S60" s="1"/>
      <c r="T60" s="1"/>
      <c r="U60" s="1"/>
      <c r="V60" s="1"/>
      <c r="W60" s="1"/>
      <c r="X60" s="1"/>
    </row>
    <row r="61" spans="1:24">
      <c r="A61" s="1"/>
      <c r="B61" s="1"/>
      <c r="C61" s="132">
        <v>3</v>
      </c>
      <c r="D61" s="58">
        <v>1.1949652777777779E-3</v>
      </c>
      <c r="E61" s="1"/>
      <c r="F61" s="1"/>
      <c r="G61" s="132">
        <v>3</v>
      </c>
      <c r="H61" s="131">
        <v>1.2050810185185185E-3</v>
      </c>
      <c r="I61" s="1"/>
      <c r="J61" s="1"/>
      <c r="K61" s="1"/>
      <c r="L61" s="1"/>
      <c r="M61" s="1">
        <v>3</v>
      </c>
      <c r="N61" s="58">
        <v>8.3365740740740752E-4</v>
      </c>
      <c r="O61" s="1"/>
      <c r="P61" s="1"/>
      <c r="Q61" s="1">
        <v>3</v>
      </c>
      <c r="R61" s="58">
        <v>8.2151620370370364E-4</v>
      </c>
      <c r="S61" s="1"/>
      <c r="T61" s="1"/>
      <c r="U61" s="1"/>
      <c r="V61" s="1"/>
      <c r="W61" s="1"/>
      <c r="X61" s="1"/>
    </row>
    <row r="62" spans="1:24">
      <c r="A62" s="1"/>
      <c r="B62" s="1"/>
      <c r="C62" s="132">
        <v>4</v>
      </c>
      <c r="D62" s="58">
        <v>1.1942129629629631E-3</v>
      </c>
      <c r="E62" s="1"/>
      <c r="F62" s="1"/>
      <c r="G62" s="132">
        <v>4</v>
      </c>
      <c r="H62" s="131">
        <v>1.2027199074074073E-3</v>
      </c>
      <c r="I62" s="1"/>
      <c r="J62" s="1"/>
      <c r="K62" s="1"/>
      <c r="L62" s="1"/>
      <c r="M62" s="1">
        <v>4</v>
      </c>
      <c r="N62" s="58">
        <v>8.2813657407407413E-4</v>
      </c>
      <c r="O62" s="1"/>
      <c r="P62" s="1"/>
      <c r="Q62" s="1">
        <v>4</v>
      </c>
      <c r="R62" s="58">
        <v>8.2106481481481483E-4</v>
      </c>
      <c r="S62" s="1"/>
      <c r="T62" s="1"/>
      <c r="U62" s="1"/>
      <c r="V62" s="1"/>
      <c r="W62" s="1"/>
      <c r="X62" s="1"/>
    </row>
    <row r="63" spans="1:24">
      <c r="A63" s="1"/>
      <c r="B63" s="1"/>
      <c r="C63" s="132">
        <v>5</v>
      </c>
      <c r="D63" s="58">
        <v>1.1978819444444443E-3</v>
      </c>
      <c r="E63" s="1"/>
      <c r="F63" s="1"/>
      <c r="G63" s="132">
        <v>5</v>
      </c>
      <c r="H63" s="131">
        <v>1.1896412037037036E-3</v>
      </c>
      <c r="I63" s="1"/>
      <c r="J63" s="1"/>
      <c r="K63" s="1"/>
      <c r="L63" s="1"/>
      <c r="M63" s="1">
        <v>5</v>
      </c>
      <c r="N63" s="58">
        <v>8.2803240740740743E-4</v>
      </c>
      <c r="O63" s="1"/>
      <c r="P63" s="1"/>
      <c r="Q63" s="1">
        <v>5</v>
      </c>
      <c r="R63" s="58">
        <v>8.2216435185185181E-4</v>
      </c>
      <c r="S63" s="1"/>
      <c r="T63" s="1"/>
      <c r="U63" s="1"/>
      <c r="V63" s="1"/>
      <c r="W63" s="1"/>
      <c r="X63" s="1"/>
    </row>
    <row r="64" spans="1:24">
      <c r="A64" s="1"/>
      <c r="B64" s="1"/>
      <c r="C64" s="132">
        <v>6</v>
      </c>
      <c r="D64" s="58">
        <v>1.1956712962962962E-3</v>
      </c>
      <c r="E64" s="1"/>
      <c r="F64" s="1"/>
      <c r="G64" s="132">
        <v>6</v>
      </c>
      <c r="H64" s="131">
        <v>1.2009606481481483E-3</v>
      </c>
      <c r="I64" s="1"/>
      <c r="J64" s="1"/>
      <c r="K64" s="1"/>
      <c r="L64" s="1"/>
      <c r="M64" s="1">
        <v>6</v>
      </c>
      <c r="N64" s="58">
        <v>8.3063657407407402E-4</v>
      </c>
      <c r="O64" s="1"/>
      <c r="P64" s="1"/>
      <c r="Q64" s="1">
        <v>6</v>
      </c>
      <c r="R64" s="58">
        <v>8.4766203703703707E-4</v>
      </c>
      <c r="S64" s="1"/>
      <c r="T64" s="1"/>
      <c r="U64" s="1"/>
      <c r="V64" s="1"/>
      <c r="W64" s="1"/>
      <c r="X64" s="1"/>
    </row>
    <row r="65" spans="1:24">
      <c r="A65" s="1"/>
      <c r="B65" s="1"/>
      <c r="C65" s="132">
        <v>7</v>
      </c>
      <c r="D65" s="58">
        <v>1.1767824074074074E-3</v>
      </c>
      <c r="E65" s="1"/>
      <c r="F65" s="1"/>
      <c r="G65" s="132">
        <v>7</v>
      </c>
      <c r="H65" s="131">
        <v>1.1911805555555556E-3</v>
      </c>
      <c r="I65" s="1"/>
      <c r="J65" s="1"/>
      <c r="K65" s="1"/>
      <c r="L65" s="1"/>
      <c r="M65" s="1">
        <v>7</v>
      </c>
      <c r="N65" s="58">
        <v>8.3038194444444446E-4</v>
      </c>
      <c r="O65" s="1"/>
      <c r="P65" s="1"/>
      <c r="Q65" s="1">
        <v>7</v>
      </c>
      <c r="R65" s="58">
        <v>8.2127314814814812E-4</v>
      </c>
      <c r="S65" s="1"/>
      <c r="T65" s="1"/>
      <c r="U65" s="1"/>
      <c r="V65" s="1"/>
      <c r="W65" s="1"/>
      <c r="X65" s="1"/>
    </row>
    <row r="66" spans="1:24">
      <c r="A66" s="1"/>
      <c r="B66" s="1"/>
      <c r="C66" s="132">
        <v>8</v>
      </c>
      <c r="D66" s="58">
        <v>1.204861111111111E-3</v>
      </c>
      <c r="E66" s="1"/>
      <c r="F66" s="1"/>
      <c r="G66" s="132">
        <v>8</v>
      </c>
      <c r="H66" s="131">
        <v>1.1953125E-3</v>
      </c>
      <c r="I66" s="1"/>
      <c r="J66" s="1"/>
      <c r="K66" s="1"/>
      <c r="L66" s="1"/>
      <c r="M66" s="1">
        <v>8</v>
      </c>
      <c r="N66" s="58">
        <v>8.2754629629629628E-4</v>
      </c>
      <c r="O66" s="1"/>
      <c r="P66" s="1"/>
      <c r="Q66" s="1">
        <v>8</v>
      </c>
      <c r="R66" s="58">
        <v>8.2086805555555559E-4</v>
      </c>
      <c r="S66" s="1"/>
      <c r="T66" s="1"/>
      <c r="U66" s="1"/>
      <c r="V66" s="1"/>
      <c r="W66" s="1"/>
      <c r="X66" s="1"/>
    </row>
    <row r="67" spans="1:24">
      <c r="A67" s="1"/>
      <c r="B67" s="1"/>
      <c r="C67" s="132">
        <v>9</v>
      </c>
      <c r="D67" s="58">
        <v>1.2104166666666667E-3</v>
      </c>
      <c r="E67" s="1"/>
      <c r="F67" s="1"/>
      <c r="G67" s="132">
        <v>9</v>
      </c>
      <c r="H67" s="131">
        <v>1.2066550925925925E-3</v>
      </c>
      <c r="I67" s="1"/>
      <c r="J67" s="1"/>
      <c r="K67" s="1"/>
      <c r="L67" s="1"/>
      <c r="M67" s="1">
        <v>9</v>
      </c>
      <c r="N67" s="58">
        <v>8.3032407407407404E-4</v>
      </c>
      <c r="O67" s="1"/>
      <c r="P67" s="1"/>
      <c r="Q67" s="1">
        <v>9</v>
      </c>
      <c r="R67" s="58">
        <v>8.1811342592592591E-4</v>
      </c>
      <c r="S67" s="1"/>
      <c r="T67" s="1"/>
      <c r="U67" s="1"/>
      <c r="V67" s="1"/>
      <c r="W67" s="1"/>
      <c r="X67" s="1"/>
    </row>
    <row r="68" spans="1:24">
      <c r="A68" s="1"/>
      <c r="B68" s="1"/>
      <c r="C68" s="132">
        <v>10</v>
      </c>
      <c r="D68" s="58">
        <v>1.5151504629629629E-3</v>
      </c>
      <c r="E68" s="1"/>
      <c r="F68" s="1"/>
      <c r="G68" s="132">
        <v>10</v>
      </c>
      <c r="H68" s="131">
        <v>1.4534606481481482E-3</v>
      </c>
      <c r="I68" s="1"/>
      <c r="J68" s="1"/>
      <c r="K68" s="1"/>
      <c r="L68" s="1"/>
      <c r="M68" s="1">
        <v>10</v>
      </c>
      <c r="N68" s="58">
        <v>8.3142361111111123E-4</v>
      </c>
      <c r="O68" s="1"/>
      <c r="P68" s="1"/>
      <c r="Q68" s="1">
        <v>10</v>
      </c>
      <c r="R68" s="58">
        <v>8.1762731481481487E-4</v>
      </c>
      <c r="S68" s="1"/>
      <c r="T68" s="1"/>
      <c r="U68" s="1"/>
      <c r="V68" s="1"/>
      <c r="W68" s="1"/>
      <c r="X68" s="1"/>
    </row>
    <row r="69" spans="1:24">
      <c r="A69" s="1"/>
      <c r="B69" s="1"/>
      <c r="C69" s="132">
        <v>11</v>
      </c>
      <c r="D69" s="58">
        <v>1.9391203703703703E-3</v>
      </c>
      <c r="E69" s="1"/>
      <c r="F69" s="1"/>
      <c r="G69" s="132">
        <v>11</v>
      </c>
      <c r="H69" s="131">
        <v>1.9292013888888887E-3</v>
      </c>
      <c r="I69" s="1"/>
      <c r="J69" s="1"/>
      <c r="K69" s="1"/>
      <c r="L69" s="1"/>
      <c r="M69" s="1">
        <v>11</v>
      </c>
      <c r="N69" s="58">
        <v>8.480671296296296E-4</v>
      </c>
      <c r="O69" s="1"/>
      <c r="P69" s="1"/>
      <c r="Q69" s="1">
        <v>11</v>
      </c>
      <c r="R69" s="58">
        <v>8.2513888888888893E-4</v>
      </c>
      <c r="S69" s="1"/>
      <c r="T69" s="1"/>
      <c r="U69" s="1"/>
      <c r="V69" s="1"/>
      <c r="W69" s="1"/>
      <c r="X69" s="1"/>
    </row>
    <row r="70" spans="1:24">
      <c r="A70" s="1"/>
      <c r="B70" s="1"/>
      <c r="C70" s="132">
        <v>12</v>
      </c>
      <c r="D70" s="58">
        <v>1.1987847222222222E-3</v>
      </c>
      <c r="E70" s="1"/>
      <c r="F70" s="1"/>
      <c r="G70" s="132">
        <v>12</v>
      </c>
      <c r="H70" s="131">
        <v>1.2021874999999999E-3</v>
      </c>
      <c r="I70" s="1"/>
      <c r="J70" s="1"/>
      <c r="K70" s="1"/>
      <c r="L70" s="1"/>
      <c r="M70" s="1">
        <v>12</v>
      </c>
      <c r="N70" s="58">
        <v>8.3438657407407398E-4</v>
      </c>
      <c r="O70" s="1"/>
      <c r="P70" s="1"/>
      <c r="Q70" s="1">
        <v>12</v>
      </c>
      <c r="R70" s="58">
        <v>9.9265046296296297E-4</v>
      </c>
      <c r="S70" s="1"/>
      <c r="T70" s="1"/>
      <c r="U70" s="1"/>
      <c r="V70" s="1"/>
      <c r="W70" s="1"/>
      <c r="X70" s="1"/>
    </row>
    <row r="71" spans="1:24">
      <c r="A71" s="1"/>
      <c r="B71" s="1"/>
      <c r="C71" s="132">
        <v>13</v>
      </c>
      <c r="D71" s="58">
        <v>1.2125462962962964E-3</v>
      </c>
      <c r="E71" s="1"/>
      <c r="F71" s="1"/>
      <c r="G71" s="132">
        <v>13</v>
      </c>
      <c r="H71" s="131">
        <v>1.2077546296296296E-3</v>
      </c>
      <c r="I71" s="1"/>
      <c r="J71" s="1"/>
      <c r="K71" s="1"/>
      <c r="L71" s="1"/>
      <c r="M71" s="1">
        <v>13</v>
      </c>
      <c r="N71" s="58">
        <v>8.3318287037037031E-4</v>
      </c>
      <c r="O71" s="1"/>
      <c r="P71" s="1"/>
      <c r="Q71" s="1">
        <v>13</v>
      </c>
      <c r="R71" s="58">
        <v>8.3115740740740741E-4</v>
      </c>
      <c r="S71" s="1"/>
      <c r="T71" s="1"/>
      <c r="U71" s="1"/>
      <c r="V71" s="1"/>
      <c r="W71" s="1"/>
      <c r="X71" s="1"/>
    </row>
    <row r="72" spans="1:24">
      <c r="A72" s="1"/>
      <c r="B72" s="1"/>
      <c r="C72" s="132">
        <v>14</v>
      </c>
      <c r="D72" s="58">
        <v>1.2050694444444444E-3</v>
      </c>
      <c r="E72" s="1"/>
      <c r="F72" s="1"/>
      <c r="G72" s="132">
        <v>14</v>
      </c>
      <c r="H72" s="131">
        <v>1.2092245370370371E-3</v>
      </c>
      <c r="I72" s="1"/>
      <c r="J72" s="1"/>
      <c r="K72" s="1"/>
      <c r="L72" s="1"/>
      <c r="M72" s="1">
        <v>14</v>
      </c>
      <c r="N72" s="58">
        <v>8.3377314814814816E-4</v>
      </c>
      <c r="O72" s="1"/>
      <c r="P72" s="1"/>
      <c r="Q72" s="1">
        <v>14</v>
      </c>
      <c r="R72" s="58">
        <v>8.1944444444444437E-4</v>
      </c>
      <c r="S72" s="1"/>
      <c r="T72" s="1"/>
      <c r="U72" s="1"/>
      <c r="V72" s="1"/>
      <c r="W72" s="1"/>
      <c r="X72" s="1"/>
    </row>
    <row r="73" spans="1:24">
      <c r="A73" s="1"/>
      <c r="B73" s="1"/>
      <c r="C73" s="132">
        <v>15</v>
      </c>
      <c r="D73" s="58">
        <v>1.1976967592592592E-3</v>
      </c>
      <c r="E73" s="1"/>
      <c r="F73" s="1"/>
      <c r="G73" s="132">
        <v>15</v>
      </c>
      <c r="H73" s="131">
        <v>1.2027314814814815E-3</v>
      </c>
      <c r="I73" s="1"/>
      <c r="J73" s="1"/>
      <c r="K73" s="1"/>
      <c r="L73" s="1"/>
      <c r="M73" s="1">
        <v>15</v>
      </c>
      <c r="N73" s="58">
        <v>8.3221064814814822E-4</v>
      </c>
      <c r="O73" s="1"/>
      <c r="P73" s="1"/>
      <c r="Q73" s="1">
        <v>15</v>
      </c>
      <c r="R73" s="58">
        <v>8.2342592592592602E-4</v>
      </c>
      <c r="S73" s="1"/>
      <c r="T73" s="1"/>
      <c r="U73" s="1"/>
      <c r="V73" s="1"/>
      <c r="W73" s="1"/>
      <c r="X73" s="1"/>
    </row>
    <row r="74" spans="1:24">
      <c r="A74" s="1"/>
      <c r="B74" s="1"/>
      <c r="C74" s="132">
        <v>16</v>
      </c>
      <c r="D74" s="58">
        <v>1.2089351851851851E-3</v>
      </c>
      <c r="E74" s="1"/>
      <c r="F74" s="1"/>
      <c r="G74" s="132">
        <v>16</v>
      </c>
      <c r="H74" s="131">
        <v>1.2106712962962963E-3</v>
      </c>
      <c r="I74" s="1"/>
      <c r="J74" s="1"/>
      <c r="K74" s="1"/>
      <c r="L74" s="1"/>
      <c r="M74" s="1">
        <v>16</v>
      </c>
      <c r="N74" s="58">
        <v>8.2762731481481489E-4</v>
      </c>
      <c r="O74" s="1"/>
      <c r="P74" s="1"/>
      <c r="Q74" s="1">
        <v>16</v>
      </c>
      <c r="R74" s="58">
        <v>8.1971064814814819E-4</v>
      </c>
      <c r="S74" s="1"/>
      <c r="T74" s="1"/>
      <c r="U74" s="1"/>
      <c r="V74" s="1"/>
      <c r="W74" s="1"/>
      <c r="X74" s="1"/>
    </row>
    <row r="75" spans="1:24" ht="15.75">
      <c r="A75" s="1"/>
      <c r="B75" s="1"/>
      <c r="C75" s="1"/>
      <c r="D75" s="1"/>
      <c r="E75" s="1"/>
      <c r="F75" s="1"/>
      <c r="G75" s="132"/>
      <c r="H75" s="99"/>
      <c r="I75" s="1"/>
      <c r="J75" s="1"/>
      <c r="K75" s="1"/>
      <c r="L75" s="1"/>
      <c r="M75" s="1">
        <v>17</v>
      </c>
      <c r="N75" s="58">
        <v>8.4262731481481482E-4</v>
      </c>
      <c r="O75" s="1"/>
      <c r="P75" s="1"/>
      <c r="Q75" s="1">
        <v>17</v>
      </c>
      <c r="R75" s="58">
        <v>8.3310185185185191E-4</v>
      </c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32"/>
      <c r="H76" s="1"/>
      <c r="I76" s="1"/>
      <c r="J76" s="1"/>
      <c r="K76" s="1"/>
      <c r="L76" s="1"/>
      <c r="M76" s="1">
        <v>18</v>
      </c>
      <c r="N76" s="58">
        <v>8.3070601851851849E-4</v>
      </c>
      <c r="O76" s="1"/>
      <c r="P76" s="1"/>
      <c r="Q76" s="1">
        <v>18</v>
      </c>
      <c r="R76" s="58">
        <v>8.2271990740740743E-4</v>
      </c>
      <c r="S76" s="1"/>
      <c r="T76" s="1"/>
      <c r="U76" s="1"/>
      <c r="V76" s="1"/>
      <c r="W76" s="1"/>
      <c r="X76" s="1"/>
    </row>
    <row r="77" spans="1:24">
      <c r="A77" s="1" t="s">
        <v>111</v>
      </c>
      <c r="B77" s="58" t="e">
        <f>+AVERAGE(B55:B64,B68:B74)</f>
        <v>#DIV/0!</v>
      </c>
      <c r="C77" s="1"/>
      <c r="D77" s="58">
        <f>+AVERAGE(D55:D67,D70:D74)</f>
        <v>1.2531291335978834E-3</v>
      </c>
      <c r="E77" s="1"/>
      <c r="F77" s="58" t="e">
        <f>+AVERAGE(F55:F64,F68:F74)</f>
        <v>#DIV/0!</v>
      </c>
      <c r="G77" s="132"/>
      <c r="H77" s="58">
        <f>+AVERAGE(H59:H67,H70:H74)</f>
        <v>1.2591030092592593E-3</v>
      </c>
      <c r="I77" s="1"/>
      <c r="J77" s="1"/>
      <c r="K77" s="1"/>
      <c r="L77" s="58"/>
      <c r="M77" s="1">
        <v>19</v>
      </c>
      <c r="N77" s="58">
        <v>8.292361111111111E-4</v>
      </c>
      <c r="O77" s="1"/>
      <c r="P77" s="58"/>
      <c r="Q77" s="1">
        <v>19</v>
      </c>
      <c r="R77" s="58">
        <v>8.2199074074074065E-4</v>
      </c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32"/>
      <c r="H78" s="1"/>
      <c r="I78" s="1"/>
      <c r="J78" s="1"/>
      <c r="K78" s="1"/>
      <c r="L78" s="1"/>
      <c r="M78" s="1">
        <v>20</v>
      </c>
      <c r="N78" s="58">
        <v>8.3160879629629633E-4</v>
      </c>
      <c r="O78" s="1"/>
      <c r="P78" s="1"/>
      <c r="Q78" s="1">
        <v>20</v>
      </c>
      <c r="R78" s="58">
        <v>8.2870370370370368E-4</v>
      </c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58">
        <v>1.2531291335978834E-3</v>
      </c>
      <c r="E79" s="1"/>
      <c r="F79" s="1"/>
      <c r="G79" s="1"/>
      <c r="H79" s="100">
        <f>+SUM(H77-D77)</f>
        <v>5.9738756613759211E-6</v>
      </c>
      <c r="I79" s="1"/>
      <c r="J79" s="1"/>
      <c r="K79" s="1"/>
      <c r="L79" s="1"/>
      <c r="M79" s="1">
        <v>21</v>
      </c>
      <c r="N79" s="58">
        <v>8.294444444444445E-4</v>
      </c>
      <c r="O79" s="1"/>
      <c r="P79" s="1"/>
      <c r="Q79" s="1">
        <v>21</v>
      </c>
      <c r="R79" s="58">
        <v>8.2164351851851843E-4</v>
      </c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>
        <v>22</v>
      </c>
      <c r="N80" s="58">
        <v>8.3431712962962973E-4</v>
      </c>
      <c r="O80" s="1"/>
      <c r="P80" s="1"/>
      <c r="Q80" s="1">
        <v>22</v>
      </c>
      <c r="R80" s="58">
        <v>8.227662037037037E-4</v>
      </c>
      <c r="S80" s="1"/>
      <c r="T80" s="1"/>
      <c r="U80" s="1"/>
      <c r="V80" s="1"/>
      <c r="W80" s="1"/>
      <c r="X80" s="1"/>
    </row>
    <row r="81" spans="1:24">
      <c r="A81" s="90" t="s">
        <v>112</v>
      </c>
      <c r="B81" s="1"/>
      <c r="C81" s="1"/>
      <c r="D81" s="58">
        <f>+SMALL(D59:D74,1)</f>
        <v>1.1767824074074074E-3</v>
      </c>
      <c r="E81" s="1"/>
      <c r="F81" s="1"/>
      <c r="G81" s="1"/>
      <c r="H81" s="58">
        <f>+SMALL(H59:H74,1)</f>
        <v>1.1896412037037036E-3</v>
      </c>
      <c r="I81" s="1"/>
      <c r="J81" s="1"/>
      <c r="K81" s="90"/>
      <c r="L81" s="1"/>
      <c r="M81" s="1">
        <v>23</v>
      </c>
      <c r="N81" s="58">
        <v>8.2590277777777783E-4</v>
      </c>
      <c r="O81" s="1"/>
      <c r="P81" s="1"/>
      <c r="Q81" s="1">
        <v>23</v>
      </c>
      <c r="R81" s="58">
        <v>8.2003472222222222E-4</v>
      </c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>
        <v>24</v>
      </c>
      <c r="N82" s="58">
        <v>8.2978009259259257E-4</v>
      </c>
      <c r="O82" s="1"/>
      <c r="P82" s="1"/>
      <c r="Q82" s="1">
        <v>24</v>
      </c>
      <c r="R82" s="58">
        <v>8.2083333333333335E-4</v>
      </c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>
        <v>25</v>
      </c>
      <c r="N83" s="58">
        <v>8.2966435185185172E-4</v>
      </c>
      <c r="O83" s="1"/>
      <c r="P83" s="1"/>
      <c r="Q83" s="1">
        <v>25</v>
      </c>
      <c r="R83" s="58">
        <v>8.3520833333333342E-4</v>
      </c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90" t="s">
        <v>115</v>
      </c>
      <c r="N85" s="58">
        <f>+AVERAGE(N59:N83)</f>
        <v>8.6065972222222208E-4</v>
      </c>
      <c r="O85" s="1"/>
      <c r="P85" s="1"/>
      <c r="Q85" s="1"/>
      <c r="R85" s="58">
        <f>+AVERAGE(R59:R83)</f>
        <v>8.58610185185185E-4</v>
      </c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90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90" t="s">
        <v>116</v>
      </c>
      <c r="N87" s="102">
        <f>+SUM(N85-R85)</f>
        <v>2.0495370370370806E-6</v>
      </c>
      <c r="O87" s="1"/>
      <c r="P87" s="1"/>
      <c r="Q87" s="1"/>
      <c r="R87" s="58">
        <f>+AVERAGE(R61:R85)</f>
        <v>8.328095679012345E-4</v>
      </c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90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90" t="s">
        <v>117</v>
      </c>
      <c r="N89" s="58">
        <f>+SMALL(N59:N83,1)</f>
        <v>8.2590277777777783E-4</v>
      </c>
      <c r="O89" s="1"/>
      <c r="P89" s="1"/>
      <c r="Q89" s="1"/>
      <c r="R89" s="58">
        <f>+SMALL(R59:R83,1)</f>
        <v>8.1762731481481487E-4</v>
      </c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90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90" t="s">
        <v>118</v>
      </c>
      <c r="N91" s="103">
        <f>+SUM(N89-R89)</f>
        <v>8.2754629629629671E-6</v>
      </c>
      <c r="O91" s="1"/>
      <c r="P91" s="1"/>
      <c r="Q91" s="1"/>
      <c r="R91" s="58">
        <f>+SMALL(R61:R85,1)</f>
        <v>8.1762731481481487E-4</v>
      </c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</sheetData>
  <mergeCells count="33">
    <mergeCell ref="A57:H57"/>
    <mergeCell ref="A58:B58"/>
    <mergeCell ref="C58:D58"/>
    <mergeCell ref="E58:F58"/>
    <mergeCell ref="G58:H58"/>
    <mergeCell ref="K25:R25"/>
    <mergeCell ref="K27:L27"/>
    <mergeCell ref="Q27:R27"/>
    <mergeCell ref="O27:P27"/>
    <mergeCell ref="M27:N27"/>
    <mergeCell ref="K26:L26"/>
    <mergeCell ref="M26:N26"/>
    <mergeCell ref="O26:P26"/>
    <mergeCell ref="Q26:R26"/>
    <mergeCell ref="K2:L2"/>
    <mergeCell ref="Q2:R2"/>
    <mergeCell ref="M2:N2"/>
    <mergeCell ref="O2:P2"/>
    <mergeCell ref="K1:R1"/>
    <mergeCell ref="A25:H25"/>
    <mergeCell ref="A27:B27"/>
    <mergeCell ref="G27:H27"/>
    <mergeCell ref="C27:D27"/>
    <mergeCell ref="E27:F27"/>
    <mergeCell ref="G26:H26"/>
    <mergeCell ref="A26:B26"/>
    <mergeCell ref="C26:D26"/>
    <mergeCell ref="E26:F26"/>
    <mergeCell ref="K58:L58"/>
    <mergeCell ref="M58:N58"/>
    <mergeCell ref="O58:P58"/>
    <mergeCell ref="Q58:R58"/>
    <mergeCell ref="K57:R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2026-08-13T05:43:21Z</dcterms:modified>
  <cp:category/>
  <cp:contentStatus/>
</cp:coreProperties>
</file>