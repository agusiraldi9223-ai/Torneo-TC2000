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08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466A214B-B300-4F32-988A-1AEE9CE9257C}" xr6:coauthVersionLast="47" xr6:coauthVersionMax="47" xr10:uidLastSave="{00000000-0000-0000-0000-000000000000}"/>
  <bookViews>
    <workbookView xWindow="0" yWindow="0" windowWidth="20490" windowHeight="7605" firstSheet="5" activeTab="5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Grafico Dinamico" sheetId="5" r:id="rId5"/>
    <sheet name="Carga Tiempos" sheetId="6" r:id="rId6"/>
    <sheet name="Tiempos" sheetId="7" r:id="rId7"/>
    <sheet name="Diferencia en Carrera" sheetId="8" r:id="rId8"/>
  </sheets>
  <definedNames>
    <definedName name="SegmentaciónDeDatos_FECHA">#N/A</definedName>
  </definedNames>
  <calcPr calcId="191028"/>
  <pivotCaches>
    <pivotCache cacheId="58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7" l="1"/>
  <c r="D29" i="7"/>
  <c r="E29" i="7"/>
  <c r="F29" i="7"/>
  <c r="U114" i="1"/>
  <c r="S114" i="1"/>
  <c r="E19" i="3"/>
  <c r="F19" i="3"/>
  <c r="D19" i="3"/>
  <c r="C19" i="3"/>
  <c r="X47" i="8"/>
  <c r="X46" i="8"/>
  <c r="W39" i="8"/>
  <c r="W35" i="8"/>
  <c r="H50" i="8"/>
  <c r="F50" i="8"/>
  <c r="B50" i="8"/>
  <c r="D50" i="8"/>
  <c r="B52" i="8"/>
  <c r="W32" i="8"/>
  <c r="R54" i="8"/>
  <c r="P54" i="8"/>
  <c r="N54" i="8"/>
  <c r="L54" i="8"/>
  <c r="B54" i="8"/>
  <c r="D54" i="8"/>
  <c r="H54" i="8"/>
  <c r="F54" i="8"/>
  <c r="D81" i="8"/>
  <c r="H81" i="8"/>
  <c r="R89" i="8"/>
  <c r="N89" i="8"/>
  <c r="N91" i="8" s="1"/>
  <c r="N85" i="8"/>
  <c r="R85" i="8"/>
  <c r="G38" i="1"/>
  <c r="W128" i="1"/>
  <c r="D77" i="8"/>
  <c r="H77" i="8"/>
  <c r="H79" i="8" s="1"/>
  <c r="F77" i="8"/>
  <c r="B77" i="8"/>
  <c r="D26" i="7"/>
  <c r="W129" i="1"/>
  <c r="G128" i="1"/>
  <c r="K129" i="1"/>
  <c r="B4" i="2"/>
  <c r="K116" i="1"/>
  <c r="M115" i="1"/>
  <c r="M116" i="1" s="1"/>
  <c r="M129" i="1" s="1"/>
  <c r="K115" i="1"/>
  <c r="I115" i="1"/>
  <c r="I116" i="1" s="1"/>
  <c r="I129" i="1" s="1"/>
  <c r="K114" i="1"/>
  <c r="L112" i="1"/>
  <c r="K112" i="1"/>
  <c r="J121" i="1"/>
  <c r="J120" i="1"/>
  <c r="H121" i="1"/>
  <c r="H120" i="1"/>
  <c r="I125" i="1"/>
  <c r="G115" i="1"/>
  <c r="H52" i="8"/>
  <c r="F52" i="8"/>
  <c r="R50" i="8"/>
  <c r="P50" i="8"/>
  <c r="N50" i="8"/>
  <c r="P19" i="8"/>
  <c r="L19" i="8"/>
  <c r="R19" i="8"/>
  <c r="N19" i="8"/>
  <c r="L50" i="8"/>
  <c r="L52" i="8" s="1"/>
  <c r="M102" i="1"/>
  <c r="K102" i="1"/>
  <c r="G102" i="1"/>
  <c r="I102" i="1"/>
  <c r="N94" i="1"/>
  <c r="L94" i="1"/>
  <c r="J94" i="1"/>
  <c r="H94" i="1"/>
  <c r="R6" i="3"/>
  <c r="H15" i="6" a="1"/>
  <c r="H15" i="6"/>
  <c r="D26" i="4"/>
  <c r="L21" i="8"/>
  <c r="K16" i="6" a="1"/>
  <c r="K16" i="6"/>
  <c r="I15" i="6" a="1"/>
  <c r="I15" i="6" s="1"/>
  <c r="K15" i="6" a="1"/>
  <c r="K15" i="6"/>
  <c r="H14" i="6" a="1"/>
  <c r="H14" i="6"/>
  <c r="I14" i="6" a="1"/>
  <c r="I14" i="6"/>
  <c r="B7" i="1"/>
  <c r="C45" i="3"/>
  <c r="C43" i="3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M89" i="1"/>
  <c r="K89" i="1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R87" i="8" l="1"/>
  <c r="R91" i="8"/>
  <c r="N87" i="8"/>
  <c r="P52" i="8"/>
  <c r="R52" i="8"/>
  <c r="P21" i="8"/>
  <c r="R21" i="8"/>
  <c r="N21" i="8"/>
  <c r="J4" i="7"/>
  <c r="L4" i="7"/>
  <c r="K4" i="7"/>
  <c r="J15" i="6" l="1"/>
  <c r="K3" i="7"/>
  <c r="K14" i="6" a="1"/>
  <c r="K14" i="6" s="1"/>
  <c r="K2" i="7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L2" i="7" l="1"/>
  <c r="J2" i="7"/>
  <c r="L3" i="7"/>
  <c r="J3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I76" i="1" l="1"/>
  <c r="K76" i="1"/>
  <c r="M76" i="1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M63" i="1"/>
  <c r="K63" i="1"/>
  <c r="F41" i="3" l="1"/>
  <c r="E41" i="3"/>
  <c r="D41" i="3"/>
  <c r="D39" i="3"/>
  <c r="D37" i="3"/>
  <c r="D35" i="3"/>
  <c r="C41" i="3"/>
  <c r="C39" i="3"/>
  <c r="C37" i="3"/>
  <c r="C35" i="3"/>
  <c r="C29" i="3"/>
  <c r="E39" i="3"/>
  <c r="E37" i="3"/>
  <c r="E35" i="3"/>
  <c r="F39" i="3"/>
  <c r="F37" i="3"/>
  <c r="F35" i="3"/>
  <c r="F33" i="3"/>
  <c r="F31" i="3"/>
  <c r="F29" i="3"/>
  <c r="F27" i="3"/>
  <c r="E33" i="3"/>
  <c r="E31" i="3"/>
  <c r="E29" i="3"/>
  <c r="E27" i="3"/>
  <c r="E47" i="3" l="1"/>
  <c r="O4" i="2"/>
  <c r="F47" i="3"/>
  <c r="O5" i="2"/>
  <c r="D33" i="3"/>
  <c r="D31" i="3"/>
  <c r="D29" i="3"/>
  <c r="D27" i="3"/>
  <c r="C33" i="3"/>
  <c r="C31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20" i="3"/>
  <c r="F21" i="3"/>
  <c r="F22" i="3"/>
  <c r="E3" i="3"/>
  <c r="E4" i="3"/>
  <c r="E5" i="3"/>
  <c r="E6" i="3"/>
  <c r="E7" i="3"/>
  <c r="E8" i="3"/>
  <c r="E9" i="3"/>
  <c r="E10" i="3"/>
  <c r="E20" i="3"/>
  <c r="E21" i="3"/>
  <c r="E22" i="3"/>
  <c r="D22" i="3"/>
  <c r="D21" i="3"/>
  <c r="D20" i="3"/>
  <c r="D10" i="3"/>
  <c r="D9" i="3"/>
  <c r="D8" i="3"/>
  <c r="D7" i="3"/>
  <c r="D6" i="3"/>
  <c r="D5" i="3"/>
  <c r="D4" i="3"/>
  <c r="D3" i="3"/>
  <c r="C21" i="3"/>
  <c r="C22" i="3"/>
  <c r="C20" i="3"/>
  <c r="C10" i="3"/>
  <c r="C9" i="3"/>
  <c r="C8" i="3"/>
  <c r="C7" i="3"/>
  <c r="C6" i="3"/>
  <c r="C5" i="3"/>
  <c r="C3" i="3"/>
  <c r="E2" i="2" s="1"/>
  <c r="J3" i="1"/>
  <c r="I128" i="1"/>
  <c r="N121" i="1"/>
  <c r="L121" i="1"/>
  <c r="N120" i="1"/>
  <c r="N125" i="1" s="1"/>
  <c r="M127" i="1" s="1"/>
  <c r="S7" i="3" s="1"/>
  <c r="L120" i="1"/>
  <c r="L125" i="1" s="1"/>
  <c r="K127" i="1" s="1"/>
  <c r="S6" i="3" s="1"/>
  <c r="J125" i="1"/>
  <c r="N108" i="1"/>
  <c r="L108" i="1"/>
  <c r="N107" i="1"/>
  <c r="L107" i="1"/>
  <c r="J107" i="1"/>
  <c r="H107" i="1"/>
  <c r="I89" i="1"/>
  <c r="G89" i="1"/>
  <c r="N81" i="1"/>
  <c r="L81" i="1"/>
  <c r="J81" i="1"/>
  <c r="H81" i="1"/>
  <c r="N112" i="1" l="1"/>
  <c r="M112" i="1"/>
  <c r="H125" i="1"/>
  <c r="G125" i="1"/>
  <c r="C24" i="3"/>
  <c r="D24" i="3"/>
  <c r="E3" i="2"/>
  <c r="E4" i="2"/>
  <c r="E24" i="3"/>
  <c r="F24" i="3"/>
  <c r="E5" i="2"/>
  <c r="B5" i="2" l="1"/>
  <c r="M114" i="1"/>
  <c r="R7" i="3" s="1"/>
  <c r="G76" i="1"/>
  <c r="N68" i="1"/>
  <c r="L68" i="1"/>
  <c r="J68" i="1"/>
  <c r="H68" i="1"/>
  <c r="I63" i="1"/>
  <c r="G63" i="1"/>
  <c r="M50" i="1" l="1"/>
  <c r="K50" i="1"/>
  <c r="I50" i="1"/>
  <c r="G50" i="1"/>
  <c r="M37" i="1"/>
  <c r="K37" i="1"/>
  <c r="I37" i="1"/>
  <c r="G37" i="1"/>
  <c r="M24" i="1"/>
  <c r="K24" i="1"/>
  <c r="I24" i="1"/>
  <c r="G24" i="1"/>
  <c r="M11" i="1"/>
  <c r="K11" i="1"/>
  <c r="I11" i="1"/>
  <c r="G11" i="1"/>
  <c r="G12" i="1"/>
  <c r="I12" i="1"/>
  <c r="K12" i="1"/>
  <c r="M12" i="1"/>
  <c r="G25" i="1" l="1"/>
  <c r="I25" i="1"/>
  <c r="K25" i="1"/>
  <c r="M25" i="1"/>
  <c r="I38" i="1"/>
  <c r="K38" i="1"/>
  <c r="M38" i="1"/>
  <c r="G51" i="1"/>
  <c r="G64" i="1" s="1"/>
  <c r="I51" i="1"/>
  <c r="I64" i="1" s="1"/>
  <c r="I77" i="1" s="1"/>
  <c r="I90" i="1" s="1"/>
  <c r="K51" i="1"/>
  <c r="K64" i="1" s="1"/>
  <c r="K77" i="1" s="1"/>
  <c r="K90" i="1" s="1"/>
  <c r="K103" i="1" s="1"/>
  <c r="M51" i="1"/>
  <c r="M64" i="1" s="1"/>
  <c r="M77" i="1" s="1"/>
  <c r="M90" i="1" s="1"/>
  <c r="M103" i="1" s="1"/>
  <c r="D5" i="1"/>
  <c r="D4" i="1"/>
  <c r="D3" i="1"/>
  <c r="D2" i="1"/>
  <c r="H69" i="1" l="1"/>
  <c r="H95" i="1"/>
  <c r="D7" i="1"/>
  <c r="H108" i="1"/>
  <c r="N82" i="1"/>
  <c r="J69" i="1"/>
  <c r="J95" i="1"/>
  <c r="D8" i="1"/>
  <c r="J108" i="1"/>
  <c r="H82" i="1"/>
  <c r="N69" i="1"/>
  <c r="N95" i="1"/>
  <c r="D9" i="1"/>
  <c r="J82" i="1"/>
  <c r="L69" i="1"/>
  <c r="L95" i="1"/>
  <c r="L82" i="1"/>
  <c r="I103" i="1"/>
  <c r="H73" i="1"/>
  <c r="G73" i="1"/>
  <c r="I73" i="1"/>
  <c r="J73" i="1"/>
  <c r="N73" i="1"/>
  <c r="M73" i="1"/>
  <c r="L73" i="1"/>
  <c r="K73" i="1"/>
  <c r="G77" i="1"/>
  <c r="N4" i="1"/>
  <c r="L4" i="1"/>
  <c r="J4" i="1"/>
  <c r="H4" i="1"/>
  <c r="N3" i="1"/>
  <c r="L3" i="1"/>
  <c r="H3" i="1"/>
  <c r="N56" i="1"/>
  <c r="L56" i="1"/>
  <c r="J56" i="1"/>
  <c r="H56" i="1"/>
  <c r="N55" i="1"/>
  <c r="M60" i="1" s="1"/>
  <c r="L55" i="1"/>
  <c r="J55" i="1"/>
  <c r="I60" i="1" s="1"/>
  <c r="H55" i="1"/>
  <c r="G60" i="1" s="1"/>
  <c r="N43" i="1"/>
  <c r="L43" i="1"/>
  <c r="J43" i="1"/>
  <c r="H43" i="1"/>
  <c r="N42" i="1"/>
  <c r="L42" i="1"/>
  <c r="J42" i="1"/>
  <c r="H42" i="1"/>
  <c r="G47" i="1" s="1"/>
  <c r="N30" i="1"/>
  <c r="L30" i="1"/>
  <c r="J30" i="1"/>
  <c r="H30" i="1"/>
  <c r="N29" i="1"/>
  <c r="L29" i="1"/>
  <c r="K34" i="1" s="1"/>
  <c r="J29" i="1"/>
  <c r="H29" i="1"/>
  <c r="G34" i="1" s="1"/>
  <c r="N17" i="1"/>
  <c r="L17" i="1"/>
  <c r="J17" i="1"/>
  <c r="H17" i="1"/>
  <c r="N16" i="1"/>
  <c r="L16" i="1"/>
  <c r="J16" i="1"/>
  <c r="H16" i="1"/>
  <c r="G21" i="1" s="1"/>
  <c r="G90" i="1" l="1"/>
  <c r="G103" i="1" s="1"/>
  <c r="G116" i="1" s="1"/>
  <c r="G129" i="1" s="1"/>
  <c r="L86" i="1"/>
  <c r="K86" i="1"/>
  <c r="L99" i="1"/>
  <c r="K99" i="1"/>
  <c r="J86" i="1"/>
  <c r="I86" i="1"/>
  <c r="N99" i="1"/>
  <c r="M99" i="1"/>
  <c r="H86" i="1"/>
  <c r="G86" i="1"/>
  <c r="J112" i="1"/>
  <c r="I112" i="1"/>
  <c r="J99" i="1"/>
  <c r="I99" i="1"/>
  <c r="N86" i="1"/>
  <c r="M86" i="1"/>
  <c r="H112" i="1"/>
  <c r="G112" i="1"/>
  <c r="B2" i="2" s="1"/>
  <c r="G99" i="1"/>
  <c r="H99" i="1"/>
  <c r="I34" i="1"/>
  <c r="K60" i="1"/>
  <c r="G8" i="1"/>
  <c r="I47" i="1"/>
  <c r="K47" i="1"/>
  <c r="M47" i="1"/>
  <c r="M34" i="1"/>
  <c r="K8" i="1"/>
  <c r="M8" i="1"/>
  <c r="I8" i="1"/>
  <c r="K21" i="1"/>
  <c r="M21" i="1"/>
  <c r="I21" i="1"/>
  <c r="B3" i="2" l="1"/>
  <c r="I114" i="1"/>
  <c r="G10" i="1"/>
  <c r="J4" i="3" s="1"/>
  <c r="G23" i="1"/>
  <c r="K4" i="3" s="1"/>
  <c r="M10" i="1"/>
  <c r="I10" i="1"/>
  <c r="K10" i="1"/>
  <c r="K23" i="1" l="1"/>
  <c r="K6" i="3" s="1"/>
  <c r="J6" i="3"/>
  <c r="M23" i="1"/>
  <c r="K7" i="3" s="1"/>
  <c r="J7" i="3"/>
  <c r="G36" i="1"/>
  <c r="L4" i="3" s="1"/>
  <c r="I23" i="1"/>
  <c r="K5" i="3" s="1"/>
  <c r="J5" i="3"/>
  <c r="D3" i="2"/>
  <c r="D2" i="2"/>
  <c r="D4" i="2"/>
  <c r="D5" i="2"/>
  <c r="J2" i="2" l="1"/>
  <c r="G49" i="1"/>
  <c r="M4" i="3" s="1"/>
  <c r="M36" i="1"/>
  <c r="L7" i="3" s="1"/>
  <c r="K36" i="1"/>
  <c r="L6" i="3" s="1"/>
  <c r="J4" i="2"/>
  <c r="I36" i="1"/>
  <c r="L5" i="3" s="1"/>
  <c r="N2" i="2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K49" i="1" l="1"/>
  <c r="M6" i="3" s="1"/>
  <c r="M49" i="1"/>
  <c r="M7" i="3" s="1"/>
  <c r="G62" i="1"/>
  <c r="N4" i="3" s="1"/>
  <c r="I49" i="1"/>
  <c r="M5" i="3" s="1"/>
  <c r="N3" i="2"/>
  <c r="G75" i="1" l="1"/>
  <c r="M62" i="1"/>
  <c r="N7" i="3" s="1"/>
  <c r="K62" i="1"/>
  <c r="N6" i="3" s="1"/>
  <c r="I62" i="1"/>
  <c r="N5" i="3" s="1"/>
  <c r="O4" i="3" l="1"/>
  <c r="G88" i="1"/>
  <c r="I75" i="1"/>
  <c r="K75" i="1"/>
  <c r="M75" i="1"/>
  <c r="O7" i="3" l="1"/>
  <c r="M88" i="1"/>
  <c r="O6" i="3"/>
  <c r="K88" i="1"/>
  <c r="P4" i="3"/>
  <c r="G101" i="1"/>
  <c r="I88" i="1"/>
  <c r="O5" i="3"/>
  <c r="P5" i="3" l="1"/>
  <c r="I101" i="1"/>
  <c r="Q4" i="3"/>
  <c r="G114" i="1"/>
  <c r="P6" i="3"/>
  <c r="K101" i="1"/>
  <c r="Q6" i="3" s="1"/>
  <c r="C4" i="2"/>
  <c r="K5" i="2" s="1"/>
  <c r="P7" i="3"/>
  <c r="M101" i="1"/>
  <c r="Q7" i="3" s="1"/>
  <c r="C5" i="2"/>
  <c r="K4" i="2" s="1"/>
  <c r="R4" i="3" l="1"/>
  <c r="S4" i="3"/>
  <c r="Q5" i="3"/>
  <c r="C2" i="2" l="1"/>
  <c r="K2" i="2" s="1"/>
  <c r="S5" i="3"/>
  <c r="R5" i="3"/>
  <c r="C3" i="2" l="1"/>
  <c r="K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<sst xmlns="http://schemas.openxmlformats.org/spreadsheetml/2006/main" count="614" uniqueCount="133">
  <si>
    <t>POSICION C1</t>
  </si>
  <si>
    <t>POSICION C2</t>
  </si>
  <si>
    <t>CABALEN</t>
  </si>
  <si>
    <t>FECHA 1</t>
  </si>
  <si>
    <t>Agus</t>
  </si>
  <si>
    <t>Pts</t>
  </si>
  <si>
    <t>Pablo</t>
  </si>
  <si>
    <t>Juandi</t>
  </si>
  <si>
    <t>Eze</t>
  </si>
  <si>
    <t>C1</t>
  </si>
  <si>
    <t>kg</t>
  </si>
  <si>
    <t>C2</t>
  </si>
  <si>
    <t>Lastre Fecha</t>
  </si>
  <si>
    <t>Pole</t>
  </si>
  <si>
    <t>VR1</t>
  </si>
  <si>
    <t>LA PLATA</t>
  </si>
  <si>
    <t>VR2</t>
  </si>
  <si>
    <t>TOTAL FECHA</t>
  </si>
  <si>
    <t>SAN JORGE</t>
  </si>
  <si>
    <t>TOTAL</t>
  </si>
  <si>
    <t>Lastre Acumulado</t>
  </si>
  <si>
    <t>TOAY</t>
  </si>
  <si>
    <t>FECHA 2</t>
  </si>
  <si>
    <t>FECHA 3</t>
  </si>
  <si>
    <t>FECHA 4</t>
  </si>
  <si>
    <t>Mendoza</t>
  </si>
  <si>
    <t>FECHA 5</t>
  </si>
  <si>
    <t>Calafate</t>
  </si>
  <si>
    <t>FECHA 6</t>
  </si>
  <si>
    <t>Termas</t>
  </si>
  <si>
    <t>FECHA 7</t>
  </si>
  <si>
    <t>Rosario</t>
  </si>
  <si>
    <t>FECHA 8</t>
  </si>
  <si>
    <t>Villicum</t>
  </si>
  <si>
    <t>FECHA 9</t>
  </si>
  <si>
    <t>Parana</t>
  </si>
  <si>
    <t>FECHA 10</t>
  </si>
  <si>
    <t>pos 2 C1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</si>
  <si>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</si>
  <si>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</si>
  <si>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</si>
  <si>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</si>
  <si>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</si>
  <si>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</si>
  <si>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</si>
  <si>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</si>
  <si>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</si>
  <si>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AGUS</t>
  </si>
  <si>
    <t>PABLO</t>
  </si>
  <si>
    <t>JUANDI</t>
  </si>
  <si>
    <t>EZE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</si>
  <si>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</si>
  <si>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</si>
  <si>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</si>
  <si>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</si>
  <si>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</si>
  <si>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</si>
  <si>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</si>
  <si>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</si>
  <si>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</si>
  <si>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</si>
  <si>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</si>
  <si>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</si>
  <si>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MENDOZA</t>
  </si>
  <si>
    <t>CALAFATE</t>
  </si>
  <si>
    <t>TERMAS</t>
  </si>
  <si>
    <t>ROSARIO</t>
  </si>
  <si>
    <t>VILLICUM</t>
  </si>
  <si>
    <t>Total victorias</t>
  </si>
  <si>
    <t>POLE</t>
  </si>
  <si>
    <t>VR</t>
  </si>
  <si>
    <t>POS C1</t>
  </si>
  <si>
    <t>POS C2</t>
  </si>
  <si>
    <t>(Todas)</t>
  </si>
  <si>
    <t>Etiquetas de fila</t>
  </si>
  <si>
    <t>VR C1</t>
  </si>
  <si>
    <t>VR C2</t>
  </si>
  <si>
    <t>Promedio C1</t>
  </si>
  <si>
    <t>Promedio C2</t>
  </si>
  <si>
    <t>Suma de POLE</t>
  </si>
  <si>
    <t>Exe</t>
  </si>
  <si>
    <t>Clasificacion</t>
  </si>
  <si>
    <t>VR Carrera 1</t>
  </si>
  <si>
    <t>VR Carrera 2</t>
  </si>
  <si>
    <t>01:53.487</t>
  </si>
  <si>
    <t>01:54.074</t>
  </si>
  <si>
    <t>01:54.108</t>
  </si>
  <si>
    <t>01:54.187</t>
  </si>
  <si>
    <t>01:54.319</t>
  </si>
  <si>
    <t>01:54.910</t>
  </si>
  <si>
    <t>Adrian Saldias</t>
  </si>
  <si>
    <t>Jesuan Anit</t>
  </si>
  <si>
    <t>Federico Oris</t>
  </si>
  <si>
    <t>agus_iraldi92</t>
  </si>
  <si>
    <t>Gabriel Juarez</t>
  </si>
  <si>
    <t>Ale Charvey</t>
  </si>
  <si>
    <t>TERMAS TN</t>
  </si>
  <si>
    <t>Columna1</t>
  </si>
  <si>
    <t>Termas TN</t>
  </si>
  <si>
    <t>Pablo C2</t>
  </si>
  <si>
    <t>Agus C2</t>
  </si>
  <si>
    <t>Juandi C2</t>
  </si>
  <si>
    <t>Eze C2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</si>
  <si>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</si>
  <si>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</si>
  <si>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</si>
  <si>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</si>
  <si>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</si>
  <si>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</si>
  <si>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</si>
  <si>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</si>
  <si>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</si>
  <si>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</si>
  <si>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</si>
  <si>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</si>
  <si>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</si>
  <si>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</si>
  <si>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</si>
  <si>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Carrera</t>
  </si>
  <si>
    <t>ROSARIO C1</t>
  </si>
  <si>
    <t>ROSARIO C2</t>
  </si>
  <si>
    <t>Pablo C1</t>
  </si>
  <si>
    <t>Agus C1</t>
  </si>
  <si>
    <t>Juandi C1</t>
  </si>
  <si>
    <t>Eze C1</t>
  </si>
  <si>
    <t>PROMEDIO</t>
  </si>
  <si>
    <t>Mejor tiempo</t>
  </si>
  <si>
    <t>VILLICUM C1</t>
  </si>
  <si>
    <t>Toay</t>
  </si>
  <si>
    <t>Promedio total</t>
  </si>
  <si>
    <t>Dif promedio</t>
  </si>
  <si>
    <t>Record</t>
  </si>
  <si>
    <t>Dif. 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</si>
</sst>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&quot;Kg&quot;"/>
    <numFmt numFmtId="165" formatCode="0.0"/>
    <numFmt numFmtId="166" formatCode="mm:ss.000"/>
    <numFmt numFmtId="167" formatCode="\ &quot;+ &quot;s.000"/>
    <numFmt numFmtId="168" formatCode="&quot;+&quot;s.000"/>
    <numFmt numFmtId="169" formatCode="&quot;+ &quot;s.000"/>
  </numFmts>
  <fonts count="1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2"/>
      <color theme="1"/>
      <name val="Google Sans"/>
      <charset val="1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DCDFE5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0" borderId="0" xfId="0" applyNumberFormat="1"/>
    <xf numFmtId="0" fontId="0" fillId="0" borderId="26" xfId="0" applyBorder="1"/>
    <xf numFmtId="166" fontId="0" fillId="0" borderId="26" xfId="0" applyNumberFormat="1" applyBorder="1"/>
    <xf numFmtId="166" fontId="0" fillId="0" borderId="27" xfId="0" applyNumberFormat="1" applyBorder="1"/>
    <xf numFmtId="0" fontId="0" fillId="0" borderId="0" xfId="0" applyBorder="1"/>
    <xf numFmtId="166" fontId="0" fillId="0" borderId="0" xfId="0" applyNumberFormat="1" applyBorder="1"/>
    <xf numFmtId="0" fontId="0" fillId="0" borderId="29" xfId="0" applyBorder="1"/>
    <xf numFmtId="166" fontId="0" fillId="0" borderId="29" xfId="0" applyNumberFormat="1" applyBorder="1"/>
    <xf numFmtId="0" fontId="0" fillId="0" borderId="32" xfId="0" applyBorder="1"/>
    <xf numFmtId="166" fontId="0" fillId="0" borderId="32" xfId="0" applyNumberFormat="1" applyBorder="1"/>
    <xf numFmtId="166" fontId="0" fillId="0" borderId="33" xfId="0" applyNumberFormat="1" applyBorder="1"/>
    <xf numFmtId="166" fontId="0" fillId="0" borderId="30" xfId="0" applyNumberFormat="1" applyBorder="1"/>
    <xf numFmtId="166" fontId="0" fillId="0" borderId="28" xfId="0" applyNumberFormat="1" applyBorder="1"/>
    <xf numFmtId="166" fontId="0" fillId="0" borderId="31" xfId="0" applyNumberFormat="1" applyBorder="1"/>
    <xf numFmtId="0" fontId="0" fillId="0" borderId="28" xfId="0" applyBorder="1"/>
    <xf numFmtId="0" fontId="3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6" fontId="0" fillId="0" borderId="34" xfId="0" applyNumberFormat="1" applyBorder="1"/>
    <xf numFmtId="0" fontId="4" fillId="0" borderId="35" xfId="0" applyFont="1" applyBorder="1"/>
    <xf numFmtId="0" fontId="0" fillId="0" borderId="31" xfId="0" applyBorder="1"/>
    <xf numFmtId="166" fontId="0" fillId="0" borderId="36" xfId="0" applyNumberFormat="1" applyBorder="1"/>
    <xf numFmtId="166" fontId="5" fillId="0" borderId="37" xfId="0" applyNumberFormat="1" applyFont="1" applyBorder="1"/>
    <xf numFmtId="166" fontId="5" fillId="0" borderId="36" xfId="0" applyNumberFormat="1" applyFont="1" applyBorder="1"/>
    <xf numFmtId="3" fontId="5" fillId="0" borderId="35" xfId="0" applyNumberFormat="1" applyFont="1" applyBorder="1"/>
    <xf numFmtId="47" fontId="5" fillId="0" borderId="37" xfId="0" applyNumberFormat="1" applyFont="1" applyBorder="1"/>
    <xf numFmtId="3" fontId="5" fillId="0" borderId="31" xfId="0" applyNumberFormat="1" applyFont="1" applyBorder="1"/>
    <xf numFmtId="0" fontId="5" fillId="0" borderId="35" xfId="0" applyFont="1" applyBorder="1"/>
    <xf numFmtId="0" fontId="5" fillId="0" borderId="35" xfId="0" quotePrefix="1" applyFont="1" applyBorder="1"/>
    <xf numFmtId="0" fontId="5" fillId="0" borderId="30" xfId="0" quotePrefix="1" applyFont="1" applyBorder="1"/>
    <xf numFmtId="166" fontId="7" fillId="0" borderId="0" xfId="0" applyNumberFormat="1" applyFont="1"/>
    <xf numFmtId="0" fontId="7" fillId="0" borderId="0" xfId="0" applyFont="1"/>
    <xf numFmtId="167" fontId="7" fillId="0" borderId="0" xfId="0" applyNumberFormat="1" applyFont="1"/>
    <xf numFmtId="0" fontId="4" fillId="0" borderId="40" xfId="0" applyFont="1" applyBorder="1"/>
    <xf numFmtId="3" fontId="8" fillId="0" borderId="35" xfId="0" applyNumberFormat="1" applyFont="1" applyBorder="1"/>
    <xf numFmtId="166" fontId="8" fillId="0" borderId="37" xfId="0" applyNumberFormat="1" applyFont="1" applyBorder="1"/>
    <xf numFmtId="3" fontId="8" fillId="0" borderId="31" xfId="0" applyNumberFormat="1" applyFont="1" applyBorder="1"/>
    <xf numFmtId="166" fontId="8" fillId="0" borderId="36" xfId="0" applyNumberFormat="1" applyFont="1" applyBorder="1"/>
    <xf numFmtId="0" fontId="8" fillId="0" borderId="0" xfId="0" applyFont="1"/>
    <xf numFmtId="166" fontId="8" fillId="0" borderId="0" xfId="0" applyNumberFormat="1" applyFont="1"/>
    <xf numFmtId="0" fontId="9" fillId="0" borderId="0" xfId="0" applyFont="1" applyBorder="1"/>
    <xf numFmtId="168" fontId="0" fillId="0" borderId="0" xfId="0" applyNumberFormat="1"/>
    <xf numFmtId="0" fontId="10" fillId="0" borderId="0" xfId="0" applyFont="1"/>
    <xf numFmtId="169" fontId="0" fillId="0" borderId="0" xfId="0" applyNumberFormat="1"/>
    <xf numFmtId="167" fontId="0" fillId="0" borderId="0" xfId="0" applyNumberFormat="1"/>
    <xf numFmtId="0" fontId="10" fillId="0" borderId="1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164" fontId="10" fillId="0" borderId="11" xfId="0" applyNumberFormat="1" applyFont="1" applyBorder="1" applyAlignment="1">
      <alignment horizontal="center"/>
    </xf>
    <xf numFmtId="164" fontId="10" fillId="0" borderId="12" xfId="0" applyNumberFormat="1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6" fillId="0" borderId="32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66" fontId="1" fillId="0" borderId="0" xfId="0" applyNumberFormat="1" applyFont="1"/>
    <xf numFmtId="0" fontId="1" fillId="0" borderId="0" xfId="0" applyFont="1"/>
    <xf numFmtId="3" fontId="1" fillId="0" borderId="35" xfId="0" applyNumberFormat="1" applyFont="1" applyBorder="1"/>
    <xf numFmtId="166" fontId="1" fillId="0" borderId="37" xfId="0" applyNumberFormat="1" applyFont="1" applyBorder="1"/>
    <xf numFmtId="3" fontId="1" fillId="0" borderId="31" xfId="0" applyNumberFormat="1" applyFont="1" applyBorder="1"/>
    <xf numFmtId="166" fontId="1" fillId="0" borderId="36" xfId="0" applyNumberFormat="1" applyFont="1" applyBorder="1"/>
  </cellXfs>
  <cellStyles count="1">
    <cellStyle name="Normal" xfId="0" builtinId="0"/>
  </cellStyles>
  <dxfs count="26">
    <dxf>
      <numFmt numFmtId="167" formatCode="\ &quot;+ &quot;s.000"/>
    </dxf>
    <dxf>
      <fill>
        <patternFill>
          <bgColor rgb="FF20F025"/>
        </patternFill>
      </fill>
    </dxf>
    <dxf>
      <numFmt numFmtId="168" formatCode="&quot;+&quot;s.000"/>
    </dxf>
    <dxf>
      <numFmt numFmtId="169" formatCode="&quot;+ &quot;s.000"/>
    </dxf>
    <dxf>
      <fill>
        <patternFill>
          <bgColor rgb="FF20F025"/>
        </patternFill>
      </fill>
    </dxf>
    <dxf>
      <numFmt numFmtId="168" formatCode="&quot;+&quot;s.00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70" formatCode="0.000"/>
    </dxf>
    <dxf>
      <numFmt numFmtId="171" formatCode="0.0000"/>
    </dxf>
    <dxf>
      <numFmt numFmtId="172" formatCode="0.00000"/>
    </dxf>
    <dxf>
      <numFmt numFmtId="171" formatCode="0.0000"/>
    </dxf>
    <dxf>
      <numFmt numFmtId="170" formatCode="0.000"/>
    </dxf>
    <dxf>
      <numFmt numFmtId="2" formatCode="0.0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" formatCode="0"/>
    </dxf>
    <dxf>
      <numFmt numFmtId="165" formatCode="0.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Campeonato TC2000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DATOS!$I$4</c:f>
              <c:strCache>
                <c:ptCount val="1"/>
                <c:pt idx="0">
                  <c:v>AGUS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DATOS!$J$4:$S$4</c:f>
              <c:numCache>
                <c:formatCode>General</c:formatCode>
                <c:ptCount val="10"/>
                <c:pt idx="0">
                  <c:v>39.25</c:v>
                </c:pt>
                <c:pt idx="1">
                  <c:v>64.75</c:v>
                </c:pt>
                <c:pt idx="2">
                  <c:v>96.25</c:v>
                </c:pt>
                <c:pt idx="3">
                  <c:v>142</c:v>
                </c:pt>
                <c:pt idx="4">
                  <c:v>172.5</c:v>
                </c:pt>
                <c:pt idx="5">
                  <c:v>207.25</c:v>
                </c:pt>
                <c:pt idx="6">
                  <c:v>247.75</c:v>
                </c:pt>
                <c:pt idx="7">
                  <c:v>287.5</c:v>
                </c:pt>
                <c:pt idx="8">
                  <c:v>314.5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B-4622-9F93-511EB17FCAC3}"/>
            </c:ext>
          </c:extLst>
        </c:ser>
        <c:ser>
          <c:idx val="1"/>
          <c:order val="1"/>
          <c:tx>
            <c:strRef>
              <c:f>DATOS!$I$5</c:f>
              <c:strCache>
                <c:ptCount val="1"/>
                <c:pt idx="0">
                  <c:v>PABLO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DATOS!$J$5:$S$5</c:f>
              <c:numCache>
                <c:formatCode>General</c:formatCode>
                <c:ptCount val="10"/>
                <c:pt idx="0">
                  <c:v>36.75</c:v>
                </c:pt>
                <c:pt idx="1">
                  <c:v>73.5</c:v>
                </c:pt>
                <c:pt idx="2">
                  <c:v>120.25</c:v>
                </c:pt>
                <c:pt idx="3">
                  <c:v>148.75</c:v>
                </c:pt>
                <c:pt idx="4">
                  <c:v>178</c:v>
                </c:pt>
                <c:pt idx="5">
                  <c:v>218.5</c:v>
                </c:pt>
                <c:pt idx="6">
                  <c:v>248.75</c:v>
                </c:pt>
                <c:pt idx="7">
                  <c:v>287.25</c:v>
                </c:pt>
                <c:pt idx="8">
                  <c:v>302.25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B-4622-9F93-511EB17FCAC3}"/>
            </c:ext>
          </c:extLst>
        </c:ser>
        <c:ser>
          <c:idx val="2"/>
          <c:order val="2"/>
          <c:tx>
            <c:strRef>
              <c:f>DATOS!$I$6</c:f>
              <c:strCache>
                <c:ptCount val="1"/>
                <c:pt idx="0">
                  <c:v>JUANDI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DATOS!$J$6:$S$6</c:f>
              <c:numCache>
                <c:formatCode>General</c:formatCode>
                <c:ptCount val="10"/>
                <c:pt idx="0">
                  <c:v>21</c:v>
                </c:pt>
                <c:pt idx="1">
                  <c:v>57.25</c:v>
                </c:pt>
                <c:pt idx="2">
                  <c:v>83.5</c:v>
                </c:pt>
                <c:pt idx="3">
                  <c:v>106.75</c:v>
                </c:pt>
                <c:pt idx="4">
                  <c:v>127.75</c:v>
                </c:pt>
                <c:pt idx="5">
                  <c:v>148.75</c:v>
                </c:pt>
                <c:pt idx="6">
                  <c:v>172.75</c:v>
                </c:pt>
                <c:pt idx="7">
                  <c:v>196.75</c:v>
                </c:pt>
                <c:pt idx="8">
                  <c:v>208.75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B-4622-9F93-511EB17FCAC3}"/>
            </c:ext>
          </c:extLst>
        </c:ser>
        <c:ser>
          <c:idx val="3"/>
          <c:order val="3"/>
          <c:tx>
            <c:strRef>
              <c:f>DATOS!$I$7</c:f>
              <c:strCache>
                <c:ptCount val="1"/>
                <c:pt idx="0">
                  <c:v>EZE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DATOS!$J$7:$S$7</c:f>
              <c:numCache>
                <c:formatCode>General</c:formatCode>
                <c:ptCount val="10"/>
                <c:pt idx="0">
                  <c:v>28.5</c:v>
                </c:pt>
                <c:pt idx="1">
                  <c:v>55.5</c:v>
                </c:pt>
                <c:pt idx="2">
                  <c:v>76.5</c:v>
                </c:pt>
                <c:pt idx="3">
                  <c:v>104.5</c:v>
                </c:pt>
                <c:pt idx="4">
                  <c:v>149.25</c:v>
                </c:pt>
                <c:pt idx="5">
                  <c:v>178.5</c:v>
                </c:pt>
                <c:pt idx="6">
                  <c:v>209.25</c:v>
                </c:pt>
                <c:pt idx="7">
                  <c:v>232.5</c:v>
                </c:pt>
                <c:pt idx="8">
                  <c:v>250.5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B-4622-9F93-511EB17FC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051279"/>
        <c:axId val="474041295"/>
      </c:lineChart>
      <c:catAx>
        <c:axId val="47405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41295"/>
        <c:crosses val="autoZero"/>
        <c:auto val="1"/>
        <c:lblAlgn val="ctr"/>
        <c:lblOffset val="100"/>
        <c:noMultiLvlLbl val="0"/>
      </c:catAx>
      <c:valAx>
        <c:axId val="474041295"/>
        <c:scaling>
          <c:orientation val="minMax"/>
          <c:max val="4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5127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[Campeonato TC2000.xlsx]Grafico Dinamico!TablaDinámica1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AR"/>
              <a:t>Radiografia</a:t>
            </a:r>
          </a:p>
          <a:p>
            <a:pPr>
              <a:defRPr/>
            </a:pPr>
            <a:r>
              <a:rPr lang="es-AR"/>
              <a:t> Campeonato</a:t>
            </a:r>
          </a:p>
        </c:rich>
      </c:tx>
      <c:layout>
        <c:manualLayout>
          <c:xMode val="edge"/>
          <c:yMode val="edge"/>
          <c:x val="0.3715833770778652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'Grafico Dinamico'!$B$3</c:f>
              <c:strCache>
                <c:ptCount val="1"/>
                <c:pt idx="0">
                  <c:v>VR C1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Dinamico'!$B$4:$B$7</c:f>
              <c:numCache>
                <c:formatCode>General</c:formatCode>
                <c:ptCount val="4"/>
                <c:pt idx="0">
                  <c:v>5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08-493F-A6B5-D426BE7BDCF1}"/>
            </c:ext>
          </c:extLst>
        </c:ser>
        <c:ser>
          <c:idx val="1"/>
          <c:order val="1"/>
          <c:tx>
            <c:strRef>
              <c:f>'Grafico Dinamico'!$C$3</c:f>
              <c:strCache>
                <c:ptCount val="1"/>
                <c:pt idx="0">
                  <c:v>VR C2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Dinamico'!$C$4:$C$7</c:f>
              <c:numCache>
                <c:formatCode>General</c:formatCode>
                <c:ptCount val="4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08-493F-A6B5-D426BE7BDCF1}"/>
            </c:ext>
          </c:extLst>
        </c:ser>
        <c:ser>
          <c:idx val="2"/>
          <c:order val="2"/>
          <c:tx>
            <c:strRef>
              <c:f>'Grafico Dinamico'!$D$3</c:f>
              <c:strCache>
                <c:ptCount val="1"/>
                <c:pt idx="0">
                  <c:v>Promedio C1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Dinamico'!$D$4:$D$7</c:f>
              <c:numCache>
                <c:formatCode>0.0</c:formatCode>
                <c:ptCount val="4"/>
                <c:pt idx="0">
                  <c:v>2</c:v>
                </c:pt>
                <c:pt idx="1">
                  <c:v>2.7777777777777777</c:v>
                </c:pt>
                <c:pt idx="2">
                  <c:v>3.3333333333333335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08-493F-A6B5-D426BE7BDCF1}"/>
            </c:ext>
          </c:extLst>
        </c:ser>
        <c:ser>
          <c:idx val="3"/>
          <c:order val="3"/>
          <c:tx>
            <c:strRef>
              <c:f>'Grafico Dinamico'!$E$3</c:f>
              <c:strCache>
                <c:ptCount val="1"/>
                <c:pt idx="0">
                  <c:v>Promedio C2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Dinamico'!$E$4:$E$7</c:f>
              <c:numCache>
                <c:formatCode>0.0</c:formatCode>
                <c:ptCount val="4"/>
                <c:pt idx="0">
                  <c:v>1.6666666666666667</c:v>
                </c:pt>
                <c:pt idx="1">
                  <c:v>2.75</c:v>
                </c:pt>
                <c:pt idx="2">
                  <c:v>3.625</c:v>
                </c:pt>
                <c:pt idx="3">
                  <c:v>1.875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08-493F-A6B5-D426BE7BDCF1}"/>
            </c:ext>
          </c:extLst>
        </c:ser>
        <c:ser>
          <c:idx val="4"/>
          <c:order val="4"/>
          <c:tx>
            <c:strRef>
              <c:f>'Grafico Dinamico'!$F$3</c:f>
              <c:strCache>
                <c:ptCount val="1"/>
                <c:pt idx="0">
                  <c:v>Suma de POLE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Dinamico'!$F$4:$F$7</c:f>
              <c:numCache>
                <c:formatCode>General</c:formatCode>
                <c:ptCount val="4"/>
                <c:pt idx="0">
                  <c:v>7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08-493F-A6B5-D426BE7BD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54701984"/>
        <c:axId val="354700320"/>
      </c:barChart>
      <c:catAx>
        <c:axId val="35470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0320"/>
        <c:crosses val="autoZero"/>
        <c:auto val="1"/>
        <c:lblAlgn val="ctr"/>
        <c:lblOffset val="100"/>
        <c:noMultiLvlLbl val="0"/>
      </c:catAx>
      <c:valAx>
        <c:axId val="35470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7</xdr:row>
      <xdr:rowOff>142875</xdr:rowOff>
    </xdr:from>
    <xdr:to>
      <xdr:col>14</xdr:col>
      <xdr:colOff>57150</xdr:colOff>
      <xdr:row>22</xdr:row>
      <xdr:rowOff>28575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138112</xdr:rowOff>
    </xdr:from>
    <xdr:to>
      <xdr:col>6</xdr:col>
      <xdr:colOff>247650</xdr:colOff>
      <xdr:row>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295275</xdr:colOff>
      <xdr:row>7</xdr:row>
      <xdr:rowOff>161925</xdr:rowOff>
    </xdr:from>
    <xdr:to>
      <xdr:col>11</xdr:col>
      <xdr:colOff>600075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ECHA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48625" y="14954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42.104577546299" createdVersion="6" refreshedVersion="8" minRefreshableVersion="3" recordCount="40" xr:uid="{00000000-000A-0000-FFFF-FFFF00000000}">
  <cacheSource type="worksheet">
    <worksheetSource ref="A1:G41" sheet="Comparativa"/>
  </cacheSource>
  <cacheFields count="7">
    <cacheField name="FECHA" numFmtId="0">
      <sharedItems containsBlank="1" count="10">
        <s v="CABALEN"/>
        <s v="LA PLATA"/>
        <s v="SAN JORGE"/>
        <s v="TOAY"/>
        <s v="MENDOZA"/>
        <s v="CALAFATE"/>
        <s v="TERMAS"/>
        <s v="ROSARIO"/>
        <s v="VILLICUM"/>
        <m/>
      </sharedItems>
    </cacheField>
    <cacheField name="PILOTO" numFmtId="0">
      <sharedItems count="4">
        <s v="Agus"/>
        <s v="Pablo"/>
        <s v="Juandi"/>
        <s v="Eze"/>
      </sharedItems>
    </cacheField>
    <cacheField name="POLE" numFmtId="0">
      <sharedItems containsSemiMixedTypes="0" containsString="0" containsNumber="1" containsInteger="1" minValue="0" maxValue="1"/>
    </cacheField>
    <cacheField name="VR" numFmtId="0">
      <sharedItems containsSemiMixedTypes="0" containsString="0" containsNumber="1" containsInteger="1" minValue="0" maxValue="1"/>
    </cacheField>
    <cacheField name="VR2" numFmtId="0">
      <sharedItems containsSemiMixedTypes="0" containsString="0" containsNumber="1" containsInteger="1" minValue="0" maxValue="1"/>
    </cacheField>
    <cacheField name="POS C1" numFmtId="0">
      <sharedItems containsMixedTypes="1" containsNumber="1" containsInteger="1" minValue="1" maxValue="4"/>
    </cacheField>
    <cacheField name="POS C2" numFmtId="0">
      <sharedItems containsMixedTypes="1" containsNumber="1" containsInteger="1" minValue="1" maxValue="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1"/>
    <n v="1"/>
    <n v="1"/>
    <n v="1"/>
    <n v="3"/>
  </r>
  <r>
    <x v="0"/>
    <x v="1"/>
    <n v="0"/>
    <n v="0"/>
    <n v="0"/>
    <n v="2"/>
    <n v="1"/>
  </r>
  <r>
    <x v="0"/>
    <x v="2"/>
    <n v="0"/>
    <n v="0"/>
    <n v="0"/>
    <n v="4"/>
    <n v="4"/>
  </r>
  <r>
    <x v="0"/>
    <x v="3"/>
    <n v="0"/>
    <n v="0"/>
    <n v="0"/>
    <n v="3"/>
    <n v="2"/>
  </r>
  <r>
    <x v="1"/>
    <x v="0"/>
    <n v="0"/>
    <n v="0"/>
    <n v="0"/>
    <n v="4"/>
    <n v="2"/>
  </r>
  <r>
    <x v="1"/>
    <x v="1"/>
    <n v="1"/>
    <n v="1"/>
    <n v="1"/>
    <n v="3"/>
    <n v="1"/>
  </r>
  <r>
    <x v="1"/>
    <x v="2"/>
    <n v="0"/>
    <n v="0"/>
    <n v="0"/>
    <n v="1"/>
    <n v="3"/>
  </r>
  <r>
    <x v="1"/>
    <x v="3"/>
    <n v="0"/>
    <n v="0"/>
    <n v="0"/>
    <n v="2"/>
    <n v="4"/>
  </r>
  <r>
    <x v="2"/>
    <x v="0"/>
    <n v="0"/>
    <n v="0"/>
    <n v="0"/>
    <n v="2"/>
    <n v="2"/>
  </r>
  <r>
    <x v="2"/>
    <x v="1"/>
    <n v="1"/>
    <n v="1"/>
    <n v="1"/>
    <n v="1"/>
    <n v="1"/>
  </r>
  <r>
    <x v="2"/>
    <x v="2"/>
    <n v="0"/>
    <n v="0"/>
    <n v="0"/>
    <n v="3"/>
    <n v="3"/>
  </r>
  <r>
    <x v="2"/>
    <x v="3"/>
    <n v="0"/>
    <n v="0"/>
    <n v="0"/>
    <n v="4"/>
    <n v="4"/>
  </r>
  <r>
    <x v="3"/>
    <x v="0"/>
    <n v="1"/>
    <n v="0"/>
    <n v="1"/>
    <n v="1"/>
    <n v="1"/>
  </r>
  <r>
    <x v="3"/>
    <x v="1"/>
    <n v="0"/>
    <n v="0"/>
    <n v="0"/>
    <n v="3"/>
    <n v="2"/>
  </r>
  <r>
    <x v="3"/>
    <x v="2"/>
    <n v="0"/>
    <n v="0"/>
    <n v="0"/>
    <n v="4"/>
    <n v="3"/>
  </r>
  <r>
    <x v="3"/>
    <x v="3"/>
    <n v="0"/>
    <n v="1"/>
    <n v="0"/>
    <n v="2"/>
    <n v="4"/>
  </r>
  <r>
    <x v="4"/>
    <x v="0"/>
    <n v="1"/>
    <n v="1"/>
    <n v="0"/>
    <n v="3"/>
    <n v="2"/>
  </r>
  <r>
    <x v="4"/>
    <x v="1"/>
    <n v="0"/>
    <n v="0"/>
    <n v="0"/>
    <n v="2"/>
    <n v="3"/>
  </r>
  <r>
    <x v="4"/>
    <x v="2"/>
    <n v="0"/>
    <n v="0"/>
    <n v="0"/>
    <n v="4"/>
    <n v="4"/>
  </r>
  <r>
    <x v="4"/>
    <x v="3"/>
    <n v="0"/>
    <n v="0"/>
    <n v="1"/>
    <n v="1"/>
    <n v="1"/>
  </r>
  <r>
    <x v="5"/>
    <x v="0"/>
    <n v="1"/>
    <n v="0"/>
    <n v="0"/>
    <n v="3"/>
    <n v="1"/>
  </r>
  <r>
    <x v="5"/>
    <x v="1"/>
    <n v="0"/>
    <n v="1"/>
    <n v="1"/>
    <n v="1"/>
    <n v="2"/>
  </r>
  <r>
    <x v="5"/>
    <x v="2"/>
    <n v="0"/>
    <n v="0"/>
    <n v="0"/>
    <n v="4"/>
    <n v="4"/>
  </r>
  <r>
    <x v="5"/>
    <x v="3"/>
    <n v="0"/>
    <n v="0"/>
    <n v="0"/>
    <n v="2"/>
    <n v="3"/>
  </r>
  <r>
    <x v="6"/>
    <x v="0"/>
    <n v="1"/>
    <n v="1"/>
    <n v="0"/>
    <n v="1"/>
    <n v="2"/>
  </r>
  <r>
    <x v="6"/>
    <x v="1"/>
    <n v="0"/>
    <n v="0"/>
    <n v="1"/>
    <n v="2"/>
    <n v="3"/>
  </r>
  <r>
    <x v="6"/>
    <x v="2"/>
    <n v="0"/>
    <n v="0"/>
    <n v="0"/>
    <n v="3"/>
    <n v="4"/>
  </r>
  <r>
    <x v="6"/>
    <x v="3"/>
    <n v="0"/>
    <n v="0"/>
    <n v="0"/>
    <n v="4"/>
    <n v="1"/>
  </r>
  <r>
    <x v="7"/>
    <x v="0"/>
    <n v="1"/>
    <n v="1"/>
    <n v="1"/>
    <n v="2"/>
    <n v="1"/>
  </r>
  <r>
    <x v="7"/>
    <x v="1"/>
    <n v="0"/>
    <n v="0"/>
    <n v="0"/>
    <n v="1"/>
    <n v="2"/>
  </r>
  <r>
    <x v="7"/>
    <x v="2"/>
    <n v="0"/>
    <n v="0"/>
    <n v="0"/>
    <n v="3"/>
    <n v="4"/>
  </r>
  <r>
    <x v="7"/>
    <x v="3"/>
    <n v="0"/>
    <n v="0"/>
    <n v="0"/>
    <n v="4"/>
    <n v="3"/>
  </r>
  <r>
    <x v="8"/>
    <x v="0"/>
    <n v="1"/>
    <n v="1"/>
    <n v="1"/>
    <n v="1"/>
    <n v="1"/>
  </r>
  <r>
    <x v="8"/>
    <x v="1"/>
    <n v="0"/>
    <n v="0"/>
    <n v="0"/>
    <n v="3"/>
    <s v=""/>
  </r>
  <r>
    <x v="8"/>
    <x v="2"/>
    <n v="0"/>
    <n v="0"/>
    <n v="0"/>
    <n v="4"/>
    <s v=""/>
  </r>
  <r>
    <x v="8"/>
    <x v="3"/>
    <n v="0"/>
    <n v="0"/>
    <n v="0"/>
    <n v="3"/>
    <s v=""/>
  </r>
  <r>
    <x v="9"/>
    <x v="0"/>
    <n v="0"/>
    <n v="0"/>
    <n v="0"/>
    <s v=""/>
    <s v=""/>
  </r>
  <r>
    <x v="9"/>
    <x v="1"/>
    <n v="0"/>
    <n v="0"/>
    <n v="0"/>
    <s v=""/>
    <s v=""/>
  </r>
  <r>
    <x v="9"/>
    <x v="2"/>
    <n v="0"/>
    <n v="0"/>
    <n v="0"/>
    <s v=""/>
    <s v=""/>
  </r>
  <r>
    <x v="9"/>
    <x v="3"/>
    <n v="0"/>
    <n v="0"/>
    <n v="0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">
  <location ref="A3:F7" firstHeaderRow="0" firstDataRow="1" firstDataCol="1" rowPageCount="1" colPageCount="1"/>
  <pivotFields count="7">
    <pivotField axis="axisPage" multipleItemSelectionAllowed="1" showAll="0">
      <items count="11">
        <item x="0"/>
        <item x="1"/>
        <item x="4"/>
        <item x="2"/>
        <item x="3"/>
        <item x="9"/>
        <item x="5"/>
        <item x="6"/>
        <item x="7"/>
        <item x="8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VR C1" fld="3" baseField="0" baseItem="0"/>
    <dataField name="VR C2" fld="4" baseField="0" baseItem="0"/>
    <dataField name="Promedio C1" fld="5" subtotal="average" baseField="1" baseItem="0" numFmtId="165"/>
    <dataField name="Promedio C2" fld="6" subtotal="average" baseField="1" baseItem="0"/>
    <dataField name="Suma de POLE" fld="2" baseField="0" baseItem="0"/>
  </dataFields>
  <formats count="20">
    <format dxfId="6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7">
      <pivotArea outline="0" collapsedLevelsAreSubtotals="1" fieldPosition="0"/>
    </format>
    <format dxfId="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2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3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4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5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</formats>
  <chartFormats count="5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3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" xr10:uid="{00000000-0013-0000-FFFF-FFFF01000000}" sourceName="FECHA">
  <pivotTables>
    <pivotTable tabId="5" name="TablaDinámica1"/>
  </pivotTables>
  <data>
    <tabular pivotCacheId="1">
      <items count="10">
        <i x="0" s="1"/>
        <i x="5" s="1"/>
        <i x="1" s="1"/>
        <i x="4" s="1"/>
        <i x="7" s="1"/>
        <i x="2" s="1"/>
        <i x="6" s="1"/>
        <i x="3" s="1"/>
        <i x="8" s="1"/>
        <i x="9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" xr10:uid="{00000000-0014-0000-FFFF-FFFF01000000}" cache="SegmentaciónDeDatos_FECHA" caption="FECHA" style="SlicerStyleLight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I1:L4" totalsRowShown="0">
  <autoFilter ref="I1:L4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"/>
  <sheetViews>
    <sheetView topLeftCell="E113" zoomScaleNormal="100" workbookViewId="0">
      <selection activeCell="W129" sqref="W129"/>
    </sheetView>
  </sheetViews>
  <sheetFormatPr defaultColWidth="9.140625" defaultRowHeight="15"/>
  <cols>
    <col min="1" max="4" width="9.140625" hidden="1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26" ht="15.75" thickBot="1">
      <c r="A1" s="116" t="s">
        <v>0</v>
      </c>
      <c r="B1" s="116"/>
      <c r="C1" s="116" t="s">
        <v>1</v>
      </c>
      <c r="D1" s="116"/>
      <c r="E1" s="1"/>
      <c r="F1" s="110" t="s">
        <v>2</v>
      </c>
      <c r="G1" s="110"/>
      <c r="H1" s="110"/>
      <c r="I1" s="110"/>
      <c r="J1" s="110"/>
      <c r="K1" s="110"/>
      <c r="L1" s="110"/>
      <c r="M1" s="110"/>
      <c r="N1" s="110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thickTop="1" thickBot="1">
      <c r="A2" s="105">
        <v>1</v>
      </c>
      <c r="B2" s="105">
        <v>25</v>
      </c>
      <c r="C2" s="105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1"/>
      <c r="P2" s="1">
        <v>0</v>
      </c>
      <c r="Q2" s="1"/>
      <c r="R2" s="110" t="s">
        <v>2</v>
      </c>
      <c r="S2" s="110"/>
      <c r="T2" s="110"/>
      <c r="U2" s="110"/>
      <c r="V2" s="110"/>
      <c r="W2" s="110"/>
      <c r="X2" s="110"/>
      <c r="Y2" s="110"/>
      <c r="Z2" s="110"/>
    </row>
    <row r="3" spans="1:26" ht="16.5" thickTop="1" thickBot="1">
      <c r="A3" s="105">
        <v>2</v>
      </c>
      <c r="B3" s="105">
        <v>18</v>
      </c>
      <c r="C3" s="105">
        <v>2</v>
      </c>
      <c r="D3" s="1">
        <f>+SUM(B3*0.75)</f>
        <v>13.5</v>
      </c>
      <c r="E3" s="1"/>
      <c r="F3" s="11" t="s">
        <v>9</v>
      </c>
      <c r="G3" s="3">
        <v>1</v>
      </c>
      <c r="H3" s="5">
        <f>+IF(G3=1,$B$2,IF($G3=2,$B$3,IF($G3=3,$B$4,IF($G3=4,$B$5,""))))</f>
        <v>25</v>
      </c>
      <c r="I3" s="3">
        <v>2</v>
      </c>
      <c r="J3" s="6">
        <f>+IF(I3=1,$B$2,IF($I3=2,$B$3,IF($I3=3,$B$4,IF($I3=4,$B$5,""))))</f>
        <v>18</v>
      </c>
      <c r="K3" s="3">
        <v>4</v>
      </c>
      <c r="L3" s="5">
        <f>+IF(K3=1,$B$2,IF($K3=2,$B$3,IF($K3=3,$B$4,IF($K3=4,$B$5,""))))</f>
        <v>12</v>
      </c>
      <c r="M3" s="3">
        <v>3</v>
      </c>
      <c r="N3" s="5">
        <f>+IF(M3=1,$B$2,IF($M3=2,$B$3,IF($M3=3,$B$4,IF($M3=4,$B$5,""))))</f>
        <v>15</v>
      </c>
      <c r="O3" s="1"/>
      <c r="P3" s="1"/>
      <c r="Q3" s="1"/>
      <c r="R3" s="8" t="s">
        <v>4</v>
      </c>
      <c r="S3" s="4" t="s">
        <v>10</v>
      </c>
      <c r="T3" s="8" t="s">
        <v>6</v>
      </c>
      <c r="U3" s="4" t="s">
        <v>10</v>
      </c>
      <c r="V3" s="8" t="s">
        <v>7</v>
      </c>
      <c r="W3" s="4" t="s">
        <v>10</v>
      </c>
      <c r="X3" s="8" t="s">
        <v>8</v>
      </c>
      <c r="Y3" s="4" t="s">
        <v>10</v>
      </c>
      <c r="Z3" s="1"/>
    </row>
    <row r="4" spans="1:26" ht="15.75" thickTop="1">
      <c r="A4" s="105">
        <v>3</v>
      </c>
      <c r="B4" s="105">
        <v>15</v>
      </c>
      <c r="C4" s="105">
        <v>3</v>
      </c>
      <c r="D4" s="1">
        <f>+SUM(B4*0.75)</f>
        <v>11.25</v>
      </c>
      <c r="E4" s="1"/>
      <c r="F4" s="11" t="s">
        <v>11</v>
      </c>
      <c r="G4" s="3">
        <v>3</v>
      </c>
      <c r="H4" s="5">
        <f>+IF(G4=1,$D$2,IF($G4=2,$D$3,IF($G4=3,$D$4,IF($G4=4,$D$5,""))))</f>
        <v>11.25</v>
      </c>
      <c r="I4" s="3">
        <v>1</v>
      </c>
      <c r="J4" s="5">
        <f>+IF(I4=1,$D$2,IF($I4=2,$D$3,IF($I4=3,$D$4,IF($I4=4,$D$5,""))))</f>
        <v>18.75</v>
      </c>
      <c r="K4" s="3">
        <v>4</v>
      </c>
      <c r="L4" s="5">
        <f>+IF(K4=1,$D$2,IF($K4=2,$D$3,IF($K4=3,$D$4,IF($K4=4,$D$5,""))))</f>
        <v>9</v>
      </c>
      <c r="M4" s="3">
        <v>2</v>
      </c>
      <c r="N4" s="5">
        <f>+IF(M4=1,$D$2,IF($M4=2,$D$3,IF($M4=3,$D$4,IF($M4=4,$D$5,""))))</f>
        <v>13.5</v>
      </c>
      <c r="O4" s="1"/>
      <c r="P4" s="1"/>
      <c r="Q4" s="1"/>
      <c r="R4" s="1" t="s">
        <v>12</v>
      </c>
      <c r="S4" s="1">
        <v>40</v>
      </c>
      <c r="T4" s="1"/>
      <c r="U4" s="1">
        <v>20</v>
      </c>
      <c r="V4" s="1"/>
      <c r="W4" s="1">
        <v>0</v>
      </c>
      <c r="X4" s="1"/>
      <c r="Y4" s="1">
        <v>10</v>
      </c>
      <c r="Z4" s="1"/>
    </row>
    <row r="5" spans="1:26">
      <c r="A5" s="105">
        <v>4</v>
      </c>
      <c r="B5" s="105">
        <v>12</v>
      </c>
      <c r="C5" s="105">
        <v>4</v>
      </c>
      <c r="D5" s="1">
        <f>+SUM(B5*0.75)</f>
        <v>9</v>
      </c>
      <c r="E5" s="1"/>
      <c r="F5" s="11" t="s">
        <v>13</v>
      </c>
      <c r="G5" s="3"/>
      <c r="H5" s="5">
        <v>1</v>
      </c>
      <c r="I5" s="3"/>
      <c r="J5" s="5"/>
      <c r="K5" s="3"/>
      <c r="L5" s="5"/>
      <c r="M5" s="3"/>
      <c r="N5" s="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thickBot="1">
      <c r="A6" s="1"/>
      <c r="B6" s="1"/>
      <c r="C6" s="1"/>
      <c r="D6" s="1"/>
      <c r="E6" s="1"/>
      <c r="F6" s="11" t="s">
        <v>14</v>
      </c>
      <c r="G6" s="3"/>
      <c r="H6" s="5">
        <v>1</v>
      </c>
      <c r="I6" s="3"/>
      <c r="J6" s="5"/>
      <c r="K6" s="3"/>
      <c r="L6" s="5"/>
      <c r="M6" s="3"/>
      <c r="N6" s="5"/>
      <c r="O6" s="1"/>
      <c r="P6" s="1"/>
      <c r="Q6" s="1"/>
      <c r="R6" s="110" t="s">
        <v>15</v>
      </c>
      <c r="S6" s="110"/>
      <c r="T6" s="110"/>
      <c r="U6" s="110"/>
      <c r="V6" s="110"/>
      <c r="W6" s="110"/>
      <c r="X6" s="110"/>
      <c r="Y6" s="110"/>
      <c r="Z6" s="110"/>
    </row>
    <row r="7" spans="1:26" ht="15.75" thickTop="1">
      <c r="A7" s="1"/>
      <c r="B7" s="1">
        <f>+SUM(B2-B3)</f>
        <v>7</v>
      </c>
      <c r="C7" s="1"/>
      <c r="D7" s="1">
        <f>+SUM(D2-D3)</f>
        <v>5.25</v>
      </c>
      <c r="E7" s="1"/>
      <c r="F7" s="11" t="s">
        <v>16</v>
      </c>
      <c r="G7" s="3"/>
      <c r="H7" s="5">
        <v>1</v>
      </c>
      <c r="I7" s="3"/>
      <c r="J7" s="5"/>
      <c r="K7" s="3"/>
      <c r="L7" s="5"/>
      <c r="M7" s="3"/>
      <c r="N7" s="5"/>
      <c r="O7" s="1"/>
      <c r="P7" s="1"/>
      <c r="Q7" s="1"/>
      <c r="R7" s="1" t="s">
        <v>12</v>
      </c>
      <c r="S7" s="1">
        <v>0</v>
      </c>
      <c r="T7" s="1"/>
      <c r="U7" s="1">
        <v>10</v>
      </c>
      <c r="V7" s="1"/>
      <c r="W7" s="1">
        <v>40</v>
      </c>
      <c r="X7" s="1"/>
      <c r="Y7" s="1">
        <v>20</v>
      </c>
      <c r="Z7" s="1"/>
    </row>
    <row r="8" spans="1:26" ht="15.75" thickBot="1">
      <c r="A8" s="1"/>
      <c r="B8" s="1"/>
      <c r="C8" s="1"/>
      <c r="D8" s="1">
        <f>+SUM(D3-D4)</f>
        <v>2.25</v>
      </c>
      <c r="E8" s="1"/>
      <c r="F8" s="12" t="s">
        <v>17</v>
      </c>
      <c r="G8" s="115">
        <f>+SUM(H3:H7)</f>
        <v>39.25</v>
      </c>
      <c r="H8" s="114"/>
      <c r="I8" s="115">
        <f>+SUM(J3:J7)</f>
        <v>36.75</v>
      </c>
      <c r="J8" s="114"/>
      <c r="K8" s="115">
        <f>+SUM(L3:L7)</f>
        <v>21</v>
      </c>
      <c r="L8" s="114"/>
      <c r="M8" s="115">
        <f>+SUM(N3:N7)</f>
        <v>28.5</v>
      </c>
      <c r="N8" s="114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thickTop="1" thickBo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10" t="s">
        <v>18</v>
      </c>
      <c r="S9" s="110"/>
      <c r="T9" s="110"/>
      <c r="U9" s="110"/>
      <c r="V9" s="110"/>
      <c r="W9" s="110"/>
      <c r="X9" s="110"/>
      <c r="Y9" s="110"/>
      <c r="Z9" s="110"/>
    </row>
    <row r="10" spans="1:26" ht="15.75" thickTop="1">
      <c r="A10" s="1"/>
      <c r="B10" s="1"/>
      <c r="C10" s="1"/>
      <c r="D10" s="1"/>
      <c r="E10" s="1"/>
      <c r="F10" s="7" t="s">
        <v>19</v>
      </c>
      <c r="G10" s="117">
        <f>G8</f>
        <v>39.25</v>
      </c>
      <c r="H10" s="117"/>
      <c r="I10" s="117">
        <f>I8</f>
        <v>36.75</v>
      </c>
      <c r="J10" s="117"/>
      <c r="K10" s="117">
        <f>K8</f>
        <v>21</v>
      </c>
      <c r="L10" s="117"/>
      <c r="M10" s="117">
        <f>M8</f>
        <v>28.5</v>
      </c>
      <c r="N10" s="117"/>
      <c r="O10" s="1"/>
      <c r="P10" s="1"/>
      <c r="Q10" s="1"/>
      <c r="R10" s="1" t="s">
        <v>12</v>
      </c>
      <c r="S10" s="1">
        <v>20</v>
      </c>
      <c r="T10" s="1"/>
      <c r="U10" s="1">
        <v>40</v>
      </c>
      <c r="V10" s="1"/>
      <c r="W10" s="1">
        <v>10</v>
      </c>
      <c r="X10" s="1"/>
      <c r="Y10" s="1">
        <v>0</v>
      </c>
      <c r="Z10" s="1"/>
    </row>
    <row r="11" spans="1:26">
      <c r="A11" s="1"/>
      <c r="B11" s="1"/>
      <c r="C11" s="1"/>
      <c r="D11" s="1"/>
      <c r="E11" s="1"/>
      <c r="F11" s="7" t="s">
        <v>12</v>
      </c>
      <c r="G11" s="108">
        <f>+IF($G3=1,40,IF($G3=2,20,IF($G3=3,10,IF($G3=4,0,""))))</f>
        <v>40</v>
      </c>
      <c r="H11" s="109"/>
      <c r="I11" s="108">
        <f>+IF($I3=1,40,IF($I3=2,20,IF($I3=3,10,IF($I3=4,0,""))))</f>
        <v>20</v>
      </c>
      <c r="J11" s="109"/>
      <c r="K11" s="108">
        <f>+IF($K3=1,40,IF($K3=2,20,IF($K3=3,10,IF($K3=4,0,""))))</f>
        <v>0</v>
      </c>
      <c r="L11" s="109"/>
      <c r="M11" s="108">
        <f>+IF($M3=1,40,IF($M3=2,20,IF($M3=3,10,IF($M3=4,0,""))))</f>
        <v>10</v>
      </c>
      <c r="N11" s="109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thickBot="1">
      <c r="A12" s="1"/>
      <c r="B12" s="1"/>
      <c r="C12" s="1"/>
      <c r="D12" s="1"/>
      <c r="E12" s="1"/>
      <c r="F12" s="15" t="s">
        <v>20</v>
      </c>
      <c r="G12" s="108">
        <f>+IF($G3=1,40,IF($G3=2,20,IF($G3=3,10,IF($G3=4,0,""))))</f>
        <v>40</v>
      </c>
      <c r="H12" s="109"/>
      <c r="I12" s="108">
        <f>+IF($I3=1,40,IF($I3=2,20,IF($I3=3,10,IF($I3=4,0,""))))</f>
        <v>20</v>
      </c>
      <c r="J12" s="109"/>
      <c r="K12" s="108">
        <f>+IF($K3=1,40,IF($K3=2,20,IF($K3=3,10,IF($K3=4,0,""))))</f>
        <v>0</v>
      </c>
      <c r="L12" s="109"/>
      <c r="M12" s="108">
        <f>+IF($M3=1,40,IF($M3=2,20,IF($M3=3,10,IF($M3=4,0,""))))</f>
        <v>10</v>
      </c>
      <c r="N12" s="109"/>
      <c r="O12" s="1"/>
      <c r="P12" s="1"/>
      <c r="Q12" s="1"/>
      <c r="R12" s="110" t="s">
        <v>21</v>
      </c>
      <c r="S12" s="110"/>
      <c r="T12" s="110"/>
      <c r="U12" s="110"/>
      <c r="V12" s="110"/>
      <c r="W12" s="110"/>
      <c r="X12" s="110"/>
      <c r="Y12" s="110"/>
      <c r="Z12" s="110"/>
    </row>
    <row r="13" spans="1:26" ht="15.75" thickTop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 t="s">
        <v>12</v>
      </c>
      <c r="S13" s="1">
        <v>40</v>
      </c>
      <c r="T13" s="1"/>
      <c r="U13" s="1">
        <v>10</v>
      </c>
      <c r="V13" s="1"/>
      <c r="W13" s="1">
        <v>0</v>
      </c>
      <c r="X13" s="1"/>
      <c r="Y13" s="1">
        <v>20</v>
      </c>
      <c r="Z13" s="1"/>
    </row>
    <row r="14" spans="1:26" ht="15.75" thickBot="1">
      <c r="A14" s="1"/>
      <c r="B14" s="1"/>
      <c r="C14" s="1"/>
      <c r="D14" s="1"/>
      <c r="E14" s="1"/>
      <c r="F14" s="110" t="s">
        <v>15</v>
      </c>
      <c r="G14" s="110"/>
      <c r="H14" s="110"/>
      <c r="I14" s="110"/>
      <c r="J14" s="110"/>
      <c r="K14" s="110"/>
      <c r="L14" s="110"/>
      <c r="M14" s="110"/>
      <c r="N14" s="110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thickTop="1" thickBot="1">
      <c r="A15" s="1"/>
      <c r="B15" s="1"/>
      <c r="C15" s="1"/>
      <c r="D15" s="1"/>
      <c r="E15" s="1"/>
      <c r="F15" s="13" t="s">
        <v>22</v>
      </c>
      <c r="G15" s="8" t="s">
        <v>4</v>
      </c>
      <c r="H15" s="4" t="s">
        <v>5</v>
      </c>
      <c r="I15" s="8" t="s">
        <v>6</v>
      </c>
      <c r="J15" s="4" t="s">
        <v>5</v>
      </c>
      <c r="K15" s="8" t="s">
        <v>7</v>
      </c>
      <c r="L15" s="4" t="s">
        <v>5</v>
      </c>
      <c r="M15" s="8" t="s">
        <v>8</v>
      </c>
      <c r="N15" s="4" t="s">
        <v>5</v>
      </c>
      <c r="O15" s="1"/>
      <c r="P15" s="1">
        <v>40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thickTop="1">
      <c r="A16" s="1"/>
      <c r="B16" s="1"/>
      <c r="C16" s="1"/>
      <c r="D16" s="1"/>
      <c r="E16" s="1"/>
      <c r="F16" s="14" t="s">
        <v>9</v>
      </c>
      <c r="G16" s="9">
        <v>4</v>
      </c>
      <c r="H16" s="6">
        <f>+IF(G16=1,$B$2,IF($G16=2,$B$3,IF($G16=3,$B$4,IF($G16=4,$B$5,""))))</f>
        <v>12</v>
      </c>
      <c r="I16" s="9">
        <v>3</v>
      </c>
      <c r="J16" s="6">
        <f>+IF(I16=1,$B$2,IF($I16=2,$B$3,IF($I16=3,$B$4,IF($I16=4,$B$5,""))))</f>
        <v>15</v>
      </c>
      <c r="K16" s="9">
        <v>1</v>
      </c>
      <c r="L16" s="6">
        <f>+IF(K16=1,$B$2,IF($K16=2,$B$3,IF($K16=3,$B$4,IF($K16=4,$B$5,""))))</f>
        <v>25</v>
      </c>
      <c r="M16" s="9">
        <v>2</v>
      </c>
      <c r="N16" s="6">
        <f>+IF(M16=1,$B$2,IF($M16=2,$B$3,IF($M16=3,$B$4,IF($M16=4,$B$5,""))))</f>
        <v>18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17">
      <c r="A17" s="1"/>
      <c r="B17" s="1"/>
      <c r="C17" s="1"/>
      <c r="D17" s="1"/>
      <c r="E17" s="1"/>
      <c r="F17" s="11" t="s">
        <v>11</v>
      </c>
      <c r="G17" s="10">
        <v>2</v>
      </c>
      <c r="H17" s="5">
        <f>+IF(G17=1,$D$2,IF($G17=2,$D$3,IF($G17=3,$D$4,IF($G17=4,$D$5,""))))</f>
        <v>13.5</v>
      </c>
      <c r="I17" s="10">
        <v>1</v>
      </c>
      <c r="J17" s="5">
        <f>+IF(I17=1,$D$2,IF($I17=2,$D$3,IF($I17=3,$D$4,IF($I17=4,$D$5,""))))</f>
        <v>18.75</v>
      </c>
      <c r="K17" s="10">
        <v>3</v>
      </c>
      <c r="L17" s="5">
        <f>+IF(K17=1,$D$2,IF($K17=2,$D$3,IF($K17=3,$D$4,IF($K17=4,$D$5,""))))</f>
        <v>11.25</v>
      </c>
      <c r="M17" s="10">
        <v>4</v>
      </c>
      <c r="N17" s="5">
        <f>+IF(M17=1,$D$2,IF($M17=2,$D$3,IF($M17=3,$D$4,IF($M17=4,$D$5,""))))</f>
        <v>9</v>
      </c>
      <c r="O17" s="1"/>
      <c r="P17" s="1"/>
      <c r="Q17" s="1"/>
    </row>
    <row r="18" spans="1:17">
      <c r="A18" s="1"/>
      <c r="B18" s="1"/>
      <c r="C18" s="1"/>
      <c r="D18" s="1"/>
      <c r="E18" s="1"/>
      <c r="F18" s="11" t="s">
        <v>13</v>
      </c>
      <c r="G18" s="10"/>
      <c r="H18" s="5"/>
      <c r="I18" s="10"/>
      <c r="J18" s="5">
        <v>1</v>
      </c>
      <c r="K18" s="10"/>
      <c r="L18" s="5"/>
      <c r="M18" s="10"/>
      <c r="N18" s="5"/>
      <c r="O18" s="1"/>
      <c r="P18" s="1"/>
      <c r="Q18" s="1"/>
    </row>
    <row r="19" spans="1:17">
      <c r="A19" s="1"/>
      <c r="B19" s="1"/>
      <c r="C19" s="1"/>
      <c r="D19" s="1"/>
      <c r="E19" s="1"/>
      <c r="F19" s="11" t="s">
        <v>14</v>
      </c>
      <c r="G19" s="10"/>
      <c r="H19" s="5"/>
      <c r="I19" s="10"/>
      <c r="J19" s="5">
        <v>1</v>
      </c>
      <c r="K19" s="10"/>
      <c r="L19" s="5"/>
      <c r="M19" s="10"/>
      <c r="N19" s="5"/>
      <c r="O19" s="1"/>
      <c r="P19" s="1"/>
      <c r="Q19" s="1"/>
    </row>
    <row r="20" spans="1:17">
      <c r="A20" s="1"/>
      <c r="B20" s="1"/>
      <c r="C20" s="1"/>
      <c r="D20" s="2"/>
      <c r="E20" s="1"/>
      <c r="F20" s="11" t="s">
        <v>16</v>
      </c>
      <c r="G20" s="10"/>
      <c r="H20" s="5"/>
      <c r="I20" s="10"/>
      <c r="J20" s="5">
        <v>1</v>
      </c>
      <c r="K20" s="10"/>
      <c r="L20" s="5"/>
      <c r="M20" s="10"/>
      <c r="N20" s="5"/>
      <c r="O20" s="1"/>
      <c r="P20" s="1"/>
      <c r="Q20" s="1"/>
    </row>
    <row r="21" spans="1:17" ht="15.75" thickBot="1">
      <c r="A21" s="1"/>
      <c r="B21" s="1"/>
      <c r="C21" s="1"/>
      <c r="D21" s="1"/>
      <c r="E21" s="1"/>
      <c r="F21" s="12" t="s">
        <v>17</v>
      </c>
      <c r="G21" s="115">
        <f>+SUM(H16:H20)</f>
        <v>25.5</v>
      </c>
      <c r="H21" s="114"/>
      <c r="I21" s="113">
        <f>+SUM(J16:J20)</f>
        <v>36.75</v>
      </c>
      <c r="J21" s="114"/>
      <c r="K21" s="113">
        <f>+SUM(L16:L20)</f>
        <v>36.25</v>
      </c>
      <c r="L21" s="114"/>
      <c r="M21" s="113">
        <f>+SUM(N16:N20)</f>
        <v>27</v>
      </c>
      <c r="N21" s="114"/>
      <c r="O21" s="1"/>
      <c r="P21" s="1"/>
      <c r="Q21" s="1"/>
    </row>
    <row r="22" spans="1:17" ht="15.75" thickTop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7" t="s">
        <v>19</v>
      </c>
      <c r="G23" s="111">
        <f>+SUM(G21+G10)</f>
        <v>64.75</v>
      </c>
      <c r="H23" s="112"/>
      <c r="I23" s="111">
        <f>+SUM(I21+I10)</f>
        <v>73.5</v>
      </c>
      <c r="J23" s="112"/>
      <c r="K23" s="111">
        <f>+SUM(K21+K10)</f>
        <v>57.25</v>
      </c>
      <c r="L23" s="112"/>
      <c r="M23" s="111">
        <f>+SUM(M21+M10)</f>
        <v>55.5</v>
      </c>
      <c r="N23" s="112"/>
      <c r="O23" s="1"/>
      <c r="P23" s="1"/>
      <c r="Q23" s="1"/>
    </row>
    <row r="24" spans="1:17">
      <c r="A24" s="1"/>
      <c r="B24" s="1"/>
      <c r="C24" s="1"/>
      <c r="D24" s="1"/>
      <c r="E24" s="1"/>
      <c r="F24" s="7" t="s">
        <v>12</v>
      </c>
      <c r="G24" s="108">
        <f>+IF($G16=1,40,IF($G16=2,20,IF($G16=3,10,IF($G16=4,0,""))))</f>
        <v>0</v>
      </c>
      <c r="H24" s="109"/>
      <c r="I24" s="108">
        <f>+IF($I16=1,40,IF($I16=2,20,IF($I16=3,10,IF($I16=4,0,""))))</f>
        <v>10</v>
      </c>
      <c r="J24" s="109"/>
      <c r="K24" s="108">
        <f>+IF($K16=1,40,IF($K16=2,20,IF($K16=3,10,IF($K16=4,0,""))))</f>
        <v>40</v>
      </c>
      <c r="L24" s="109"/>
      <c r="M24" s="108">
        <f>+IF($M16=1,40,IF($M16=2,20,IF($M16=3,10,IF($M16=4,0,""))))</f>
        <v>20</v>
      </c>
      <c r="N24" s="109"/>
      <c r="O24" s="1"/>
      <c r="P24" s="1"/>
      <c r="Q24" s="1"/>
    </row>
    <row r="25" spans="1:17">
      <c r="A25" s="1"/>
      <c r="B25" s="1"/>
      <c r="C25" s="1"/>
      <c r="D25" s="1"/>
      <c r="E25" s="1"/>
      <c r="F25" s="15" t="s">
        <v>20</v>
      </c>
      <c r="G25" s="108">
        <f>+SUM(G24+G12)</f>
        <v>40</v>
      </c>
      <c r="H25" s="109"/>
      <c r="I25" s="108">
        <f>+SUM(I24+I12)</f>
        <v>30</v>
      </c>
      <c r="J25" s="109"/>
      <c r="K25" s="108">
        <f>+SUM(K24+K12)</f>
        <v>40</v>
      </c>
      <c r="L25" s="109"/>
      <c r="M25" s="108">
        <f>+SUM(M24+M12)</f>
        <v>30</v>
      </c>
      <c r="N25" s="109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thickBot="1">
      <c r="A27" s="1"/>
      <c r="B27" s="1"/>
      <c r="C27" s="1"/>
      <c r="D27" s="1"/>
      <c r="E27" s="1"/>
      <c r="F27" s="110" t="s">
        <v>18</v>
      </c>
      <c r="G27" s="110"/>
      <c r="H27" s="110"/>
      <c r="I27" s="110"/>
      <c r="J27" s="110"/>
      <c r="K27" s="110"/>
      <c r="L27" s="110"/>
      <c r="M27" s="110"/>
      <c r="N27" s="110"/>
      <c r="O27" s="1"/>
      <c r="P27" s="1"/>
      <c r="Q27" s="1"/>
    </row>
    <row r="28" spans="1:17" ht="16.5" thickTop="1" thickBot="1">
      <c r="A28" s="1"/>
      <c r="B28" s="1"/>
      <c r="C28" s="1"/>
      <c r="D28" s="1"/>
      <c r="E28" s="1"/>
      <c r="F28" s="13" t="s">
        <v>23</v>
      </c>
      <c r="G28" s="8" t="s">
        <v>4</v>
      </c>
      <c r="H28" s="4" t="s">
        <v>5</v>
      </c>
      <c r="I28" s="8" t="s">
        <v>6</v>
      </c>
      <c r="J28" s="4" t="s">
        <v>5</v>
      </c>
      <c r="K28" s="8" t="s">
        <v>7</v>
      </c>
      <c r="L28" s="4" t="s">
        <v>5</v>
      </c>
      <c r="M28" s="8" t="s">
        <v>8</v>
      </c>
      <c r="N28" s="4" t="s">
        <v>5</v>
      </c>
      <c r="O28" s="1"/>
      <c r="P28" s="1">
        <v>40</v>
      </c>
      <c r="Q28" s="1"/>
    </row>
    <row r="29" spans="1:17" ht="15.75" thickTop="1">
      <c r="A29" s="1"/>
      <c r="B29" s="1"/>
      <c r="C29" s="1"/>
      <c r="D29" s="1"/>
      <c r="E29" s="1"/>
      <c r="F29" s="14" t="s">
        <v>9</v>
      </c>
      <c r="G29" s="9">
        <v>2</v>
      </c>
      <c r="H29" s="6">
        <f>+IF(G29=1,$B$2,IF($G29=2,$B$3,IF($G29=3,$B$4,IF($G29=4,$B$5,""))))</f>
        <v>18</v>
      </c>
      <c r="I29" s="9">
        <v>1</v>
      </c>
      <c r="J29" s="6">
        <f>+IF(I29=1,$B$2,IF($I29=2,$B$3,IF($I29=3,$B$4,IF($I29=4,$B$5,""))))</f>
        <v>25</v>
      </c>
      <c r="K29" s="9">
        <v>3</v>
      </c>
      <c r="L29" s="6">
        <f>+IF(K29=1,$B$2,IF($K29=2,$B$3,IF($K29=3,$B$4,IF($K29=4,$B$5,""))))</f>
        <v>15</v>
      </c>
      <c r="M29" s="9">
        <v>4</v>
      </c>
      <c r="N29" s="6">
        <f>+IF(M29=1,$B$2,IF($M29=2,$B$3,IF($M29=3,$B$4,IF($M29=4,$B$5,""))))</f>
        <v>12</v>
      </c>
      <c r="O29" s="1"/>
      <c r="P29" s="1"/>
      <c r="Q29" s="1"/>
    </row>
    <row r="30" spans="1:17">
      <c r="A30" s="1"/>
      <c r="B30" s="1"/>
      <c r="C30" s="1"/>
      <c r="D30" s="1"/>
      <c r="E30" s="1"/>
      <c r="F30" s="11" t="s">
        <v>11</v>
      </c>
      <c r="G30" s="10">
        <v>2</v>
      </c>
      <c r="H30" s="5">
        <f>+IF(G30=1,$D$2,IF($G30=2,$D$3,IF($G30=3,$D$4,IF($G30=4,$D$5,""))))</f>
        <v>13.5</v>
      </c>
      <c r="I30" s="10">
        <v>1</v>
      </c>
      <c r="J30" s="5">
        <f>+IF(I30=1,$D$2,IF($I30=2,$D$3,IF($I30=3,$D$4,IF($I30=4,$D$5,""))))</f>
        <v>18.75</v>
      </c>
      <c r="K30" s="10">
        <v>3</v>
      </c>
      <c r="L30" s="5">
        <f>+IF(K30=1,$D$2,IF($K30=2,$D$3,IF($K30=3,$D$4,IF($K30=4,$D$5,""))))</f>
        <v>11.25</v>
      </c>
      <c r="M30" s="10">
        <v>4</v>
      </c>
      <c r="N30" s="5">
        <f>+IF(M30=1,$D$2,IF($M30=2,$D$3,IF($M30=3,$D$4,IF($M30=4,$D$5,""))))</f>
        <v>9</v>
      </c>
      <c r="O30" s="1"/>
      <c r="P30" s="1"/>
      <c r="Q30" s="1"/>
    </row>
    <row r="31" spans="1:17">
      <c r="A31" s="1"/>
      <c r="B31" s="1"/>
      <c r="C31" s="1"/>
      <c r="D31" s="1"/>
      <c r="E31" s="1"/>
      <c r="F31" s="11" t="s">
        <v>13</v>
      </c>
      <c r="G31" s="10"/>
      <c r="H31" s="5"/>
      <c r="I31" s="10"/>
      <c r="J31" s="5">
        <v>1</v>
      </c>
      <c r="K31" s="10"/>
      <c r="L31" s="5"/>
      <c r="M31" s="10"/>
      <c r="N31" s="5"/>
      <c r="O31" s="1"/>
      <c r="P31" s="1"/>
      <c r="Q31" s="1"/>
    </row>
    <row r="32" spans="1:17">
      <c r="A32" s="1"/>
      <c r="B32" s="1"/>
      <c r="C32" s="1"/>
      <c r="D32" s="1"/>
      <c r="E32" s="1"/>
      <c r="F32" s="11" t="s">
        <v>14</v>
      </c>
      <c r="G32" s="10"/>
      <c r="H32" s="5"/>
      <c r="I32" s="10"/>
      <c r="J32" s="5">
        <v>1</v>
      </c>
      <c r="K32" s="10"/>
      <c r="L32" s="5"/>
      <c r="M32" s="10"/>
      <c r="N32" s="5"/>
      <c r="O32" s="1"/>
      <c r="P32" s="1"/>
      <c r="Q32" s="1"/>
    </row>
    <row r="33" spans="6:23">
      <c r="F33" s="11" t="s">
        <v>16</v>
      </c>
      <c r="G33" s="10"/>
      <c r="H33" s="5"/>
      <c r="I33" s="10"/>
      <c r="J33" s="5">
        <v>1</v>
      </c>
      <c r="K33" s="10"/>
      <c r="L33" s="5"/>
      <c r="M33" s="10"/>
      <c r="N33" s="5"/>
      <c r="O33" s="1"/>
      <c r="P33" s="1"/>
      <c r="Q33" s="1"/>
      <c r="R33" s="1"/>
      <c r="S33" s="1"/>
      <c r="T33" s="1"/>
      <c r="U33" s="1"/>
      <c r="V33" s="1"/>
      <c r="W33" s="1"/>
    </row>
    <row r="34" spans="6:23" ht="15.75" thickBot="1">
      <c r="F34" s="12" t="s">
        <v>17</v>
      </c>
      <c r="G34" s="113">
        <f>+SUM(H29:H33)</f>
        <v>31.5</v>
      </c>
      <c r="H34" s="114"/>
      <c r="I34" s="113">
        <f>+SUM(J29:J33)</f>
        <v>46.75</v>
      </c>
      <c r="J34" s="114"/>
      <c r="K34" s="113">
        <f>+SUM(L29:L33)</f>
        <v>26.25</v>
      </c>
      <c r="L34" s="114"/>
      <c r="M34" s="113">
        <f>+SUM(N29:N33)</f>
        <v>21</v>
      </c>
      <c r="N34" s="114"/>
      <c r="O34" s="1"/>
      <c r="P34" s="1"/>
      <c r="Q34" s="1"/>
      <c r="R34" s="1"/>
      <c r="S34" s="1"/>
      <c r="T34" s="1"/>
      <c r="U34" s="1"/>
      <c r="V34" s="1"/>
      <c r="W34" s="1"/>
    </row>
    <row r="35" spans="6:23" ht="15.75" thickTop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6:23">
      <c r="F36" s="7" t="s">
        <v>19</v>
      </c>
      <c r="G36" s="111">
        <f>+SUM(G34,G23)</f>
        <v>96.25</v>
      </c>
      <c r="H36" s="112"/>
      <c r="I36" s="111">
        <f>+SUM(I34,I23)</f>
        <v>120.25</v>
      </c>
      <c r="J36" s="112"/>
      <c r="K36" s="111">
        <f>+SUM(K34,K23)</f>
        <v>83.5</v>
      </c>
      <c r="L36" s="112"/>
      <c r="M36" s="111">
        <f>+SUM(M34,M23)</f>
        <v>76.5</v>
      </c>
      <c r="N36" s="112"/>
      <c r="O36" s="1"/>
      <c r="P36" s="1"/>
      <c r="Q36" s="1"/>
      <c r="R36" s="1"/>
      <c r="S36" s="1"/>
      <c r="T36" s="1"/>
      <c r="U36" s="1"/>
      <c r="V36" s="1"/>
      <c r="W36" s="1"/>
    </row>
    <row r="37" spans="6:23">
      <c r="F37" s="7" t="s">
        <v>12</v>
      </c>
      <c r="G37" s="108">
        <f>+IF($G29=1,40,IF($G29=2,20,IF($G29=3,10,IF($G29=4,0,""))))</f>
        <v>20</v>
      </c>
      <c r="H37" s="109"/>
      <c r="I37" s="108">
        <f>+IF($I29=1,40,IF($I29=2,20,IF($I29=3,10,IF($I29=4,0,""))))</f>
        <v>40</v>
      </c>
      <c r="J37" s="109"/>
      <c r="K37" s="108">
        <f>+IF($K29=1,40,IF($K29=2,20,IF($K29=3,10,IF($K29=4,0,""))))</f>
        <v>10</v>
      </c>
      <c r="L37" s="109"/>
      <c r="M37" s="108">
        <f>+IF($M29=1,40,IF($M29=2,20,IF($M29=3,10,IF($M29=4,0,""))))</f>
        <v>0</v>
      </c>
      <c r="N37" s="109"/>
      <c r="O37" s="1"/>
      <c r="P37" s="1"/>
      <c r="Q37" s="1"/>
      <c r="R37" s="1"/>
      <c r="S37" s="1"/>
      <c r="T37" s="1"/>
      <c r="U37" s="1"/>
      <c r="V37" s="1"/>
      <c r="W37" s="1"/>
    </row>
    <row r="38" spans="6:23">
      <c r="F38" s="15" t="s">
        <v>20</v>
      </c>
      <c r="G38" s="108">
        <f>+SUM(G37+G25)</f>
        <v>60</v>
      </c>
      <c r="H38" s="109"/>
      <c r="I38" s="108">
        <f>+SUM(I37+I25)</f>
        <v>70</v>
      </c>
      <c r="J38" s="109"/>
      <c r="K38" s="108">
        <f>+SUM(K37+K25)</f>
        <v>50</v>
      </c>
      <c r="L38" s="109"/>
      <c r="M38" s="108">
        <f>+SUM(M37+M25)</f>
        <v>30</v>
      </c>
      <c r="N38" s="109"/>
      <c r="O38" s="1"/>
      <c r="P38" s="1"/>
      <c r="Q38" s="1"/>
      <c r="R38" s="1"/>
      <c r="S38" s="1"/>
      <c r="T38" s="1"/>
      <c r="U38" s="1"/>
      <c r="V38" s="1"/>
      <c r="W38" s="1"/>
    </row>
    <row r="39" spans="6:23"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6:23" ht="15.75" thickBot="1">
      <c r="F40" s="110" t="s">
        <v>21</v>
      </c>
      <c r="G40" s="110"/>
      <c r="H40" s="110"/>
      <c r="I40" s="110"/>
      <c r="J40" s="110"/>
      <c r="K40" s="110"/>
      <c r="L40" s="110"/>
      <c r="M40" s="110"/>
      <c r="N40" s="110"/>
      <c r="O40" s="1"/>
      <c r="P40" s="1"/>
      <c r="Q40" s="1"/>
      <c r="R40" s="1"/>
      <c r="S40" s="1"/>
      <c r="T40" s="1"/>
      <c r="U40" s="1"/>
      <c r="V40" s="1"/>
      <c r="W40" s="1"/>
    </row>
    <row r="41" spans="6:23" ht="16.5" thickTop="1" thickBot="1">
      <c r="F41" s="13" t="s">
        <v>24</v>
      </c>
      <c r="G41" s="8" t="s">
        <v>4</v>
      </c>
      <c r="H41" s="4" t="s">
        <v>5</v>
      </c>
      <c r="I41" s="8" t="s">
        <v>6</v>
      </c>
      <c r="J41" s="4" t="s">
        <v>5</v>
      </c>
      <c r="K41" s="8" t="s">
        <v>7</v>
      </c>
      <c r="L41" s="4" t="s">
        <v>5</v>
      </c>
      <c r="M41" s="8" t="s">
        <v>8</v>
      </c>
      <c r="N41" s="4" t="s">
        <v>5</v>
      </c>
      <c r="O41" s="1"/>
      <c r="P41" s="1">
        <v>60</v>
      </c>
      <c r="Q41" s="1"/>
      <c r="R41" s="1"/>
      <c r="S41" s="1"/>
      <c r="T41" s="1"/>
      <c r="U41" s="1"/>
      <c r="V41" s="1"/>
      <c r="W41" s="1"/>
    </row>
    <row r="42" spans="6:23" ht="15.75" thickTop="1">
      <c r="F42" s="14" t="s">
        <v>9</v>
      </c>
      <c r="G42" s="9">
        <v>1</v>
      </c>
      <c r="H42" s="6">
        <f>+IF(G42=1,$B$2,IF($G42=2,$B$3,IF($G42=3,$B$4,IF($G42=4,$B$5,""))))</f>
        <v>25</v>
      </c>
      <c r="I42" s="9">
        <v>3</v>
      </c>
      <c r="J42" s="6">
        <f>+IF(I42=1,$B$2,IF($I42=2,$B$3,IF($I42=3,$B$4,IF($I42=4,$B$5,""))))</f>
        <v>15</v>
      </c>
      <c r="K42" s="9">
        <v>4</v>
      </c>
      <c r="L42" s="6">
        <f>+IF(K42=1,$B$2,IF($K42=2,$B$3,IF($K42=3,$B$4,IF($K42=4,$B$5,""))))</f>
        <v>12</v>
      </c>
      <c r="M42" s="9">
        <v>2</v>
      </c>
      <c r="N42" s="6">
        <f>+IF(M42=1,$B$2,IF($M42=2,$B$3,IF($M42=3,$B$4,IF($M42=4,$B$5,""))))</f>
        <v>18</v>
      </c>
      <c r="O42" s="1"/>
      <c r="P42" s="1"/>
      <c r="Q42" s="1"/>
      <c r="R42" s="1"/>
      <c r="S42" s="1"/>
      <c r="T42" s="1"/>
      <c r="U42" s="1"/>
      <c r="V42" s="1"/>
      <c r="W42" s="1"/>
    </row>
    <row r="43" spans="6:23">
      <c r="F43" s="11" t="s">
        <v>11</v>
      </c>
      <c r="G43" s="10">
        <v>1</v>
      </c>
      <c r="H43" s="5">
        <f>+IF(G43=1,$D$2,IF($G43=2,$D$3,IF($G43=3,$D$4,IF($G43=4,$D$5,""))))</f>
        <v>18.75</v>
      </c>
      <c r="I43" s="10">
        <v>2</v>
      </c>
      <c r="J43" s="5">
        <f>+IF(I43=1,$D$2,IF($I43=2,$D$3,IF($I43=3,$D$4,IF($I43=4,$D$5,""))))</f>
        <v>13.5</v>
      </c>
      <c r="K43" s="10">
        <v>3</v>
      </c>
      <c r="L43" s="5">
        <f>+IF(K43=1,$D$2,IF($K43=2,$D$3,IF($K43=3,$D$4,IF($K43=4,$D$5,""))))</f>
        <v>11.25</v>
      </c>
      <c r="M43" s="10">
        <v>4</v>
      </c>
      <c r="N43" s="5">
        <f>+IF(M43=1,$D$2,IF($M43=2,$D$3,IF($M43=3,$D$4,IF($M43=4,$D$5,""))))</f>
        <v>9</v>
      </c>
      <c r="O43" s="1"/>
      <c r="P43" s="1"/>
      <c r="Q43" s="1"/>
      <c r="R43" s="1"/>
      <c r="S43" s="1"/>
      <c r="T43" s="1"/>
      <c r="U43" s="1"/>
      <c r="V43" s="1"/>
      <c r="W43" s="1"/>
    </row>
    <row r="44" spans="6:23">
      <c r="F44" s="11" t="s">
        <v>13</v>
      </c>
      <c r="G44" s="10"/>
      <c r="H44" s="5">
        <v>1</v>
      </c>
      <c r="I44" s="10"/>
      <c r="J44" s="5"/>
      <c r="K44" s="10"/>
      <c r="L44" s="5"/>
      <c r="M44" s="10"/>
      <c r="N44" s="5"/>
      <c r="O44" s="1"/>
      <c r="P44" s="1"/>
      <c r="Q44" s="1"/>
      <c r="R44" s="1"/>
      <c r="S44" s="1"/>
      <c r="T44" s="1"/>
      <c r="U44" s="1"/>
      <c r="V44" s="1"/>
      <c r="W44" s="1"/>
    </row>
    <row r="45" spans="6:23">
      <c r="F45" s="11" t="s">
        <v>14</v>
      </c>
      <c r="G45" s="10"/>
      <c r="H45" s="5"/>
      <c r="I45" s="10"/>
      <c r="J45" s="5"/>
      <c r="K45" s="10"/>
      <c r="L45" s="5"/>
      <c r="M45" s="10"/>
      <c r="N45" s="5">
        <v>1</v>
      </c>
      <c r="O45" s="1"/>
      <c r="P45" s="1"/>
      <c r="Q45" s="1"/>
      <c r="R45" s="1"/>
      <c r="S45" s="1"/>
      <c r="T45" s="1"/>
      <c r="U45" s="1"/>
      <c r="V45" s="1"/>
      <c r="W45" s="1"/>
    </row>
    <row r="46" spans="6:23">
      <c r="F46" s="11" t="s">
        <v>16</v>
      </c>
      <c r="G46" s="10"/>
      <c r="H46" s="5">
        <v>1</v>
      </c>
      <c r="I46" s="10"/>
      <c r="J46" s="5"/>
      <c r="K46" s="10"/>
      <c r="L46" s="5"/>
      <c r="M46" s="10"/>
      <c r="N46" s="5"/>
      <c r="O46" s="1"/>
      <c r="P46" s="1"/>
      <c r="Q46" s="1"/>
      <c r="R46" s="1"/>
      <c r="S46" s="1"/>
      <c r="T46" s="1"/>
      <c r="U46" s="1"/>
      <c r="V46" s="1"/>
      <c r="W46" s="1"/>
    </row>
    <row r="47" spans="6:23" ht="15.75" thickBot="1">
      <c r="F47" s="12" t="s">
        <v>17</v>
      </c>
      <c r="G47" s="113">
        <f>+SUM(H42:H46)</f>
        <v>45.75</v>
      </c>
      <c r="H47" s="114"/>
      <c r="I47" s="113">
        <f t="shared" ref="I47" si="0">+SUM(J42:J46)</f>
        <v>28.5</v>
      </c>
      <c r="J47" s="114"/>
      <c r="K47" s="113">
        <f t="shared" ref="K47" si="1">+SUM(L42:L46)</f>
        <v>23.25</v>
      </c>
      <c r="L47" s="114"/>
      <c r="M47" s="113">
        <f t="shared" ref="M47" si="2">+SUM(N42:N46)</f>
        <v>28</v>
      </c>
      <c r="N47" s="114"/>
      <c r="O47" s="1"/>
      <c r="P47" s="1"/>
      <c r="Q47" s="1"/>
      <c r="R47" s="1"/>
      <c r="S47" s="1"/>
      <c r="T47" s="1"/>
      <c r="U47" s="1"/>
      <c r="V47" s="1"/>
      <c r="W47" s="1"/>
    </row>
    <row r="48" spans="6:23" ht="15.75" thickTop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6:16">
      <c r="F49" s="7" t="s">
        <v>19</v>
      </c>
      <c r="G49" s="111">
        <f>+SUM(G47,G36)</f>
        <v>142</v>
      </c>
      <c r="H49" s="112"/>
      <c r="I49" s="111">
        <f>+SUM(I47,I36)</f>
        <v>148.75</v>
      </c>
      <c r="J49" s="112"/>
      <c r="K49" s="111">
        <f>+SUM(K47,K36)</f>
        <v>106.75</v>
      </c>
      <c r="L49" s="112"/>
      <c r="M49" s="111">
        <f>+SUM(M47,M36)</f>
        <v>104.5</v>
      </c>
      <c r="N49" s="112"/>
      <c r="O49" s="1"/>
      <c r="P49" s="1"/>
    </row>
    <row r="50" spans="6:16">
      <c r="F50" s="7" t="s">
        <v>12</v>
      </c>
      <c r="G50" s="108">
        <f>+IF($G42=1,40,IF($G42=2,20,IF($G42=3,10,IF($G42=4,0,""))))</f>
        <v>40</v>
      </c>
      <c r="H50" s="109"/>
      <c r="I50" s="108">
        <f>+IF($I42=1,40,IF($I42=2,20,IF($I42=3,10,IF($I42=4,0,""))))</f>
        <v>10</v>
      </c>
      <c r="J50" s="109"/>
      <c r="K50" s="108">
        <f>+IF($K42=1,40,IF($K42=2,20,IF($K42=3,10,IF($K42=4,0,""))))</f>
        <v>0</v>
      </c>
      <c r="L50" s="109"/>
      <c r="M50" s="108">
        <f>+IF($M42=1,40,IF($M42=2,20,IF($M42=3,10,IF($M42=4,0,""))))</f>
        <v>20</v>
      </c>
      <c r="N50" s="109"/>
      <c r="O50" s="1"/>
      <c r="P50" s="1"/>
    </row>
    <row r="51" spans="6:16">
      <c r="F51" s="15" t="s">
        <v>20</v>
      </c>
      <c r="G51" s="108">
        <f>+SUM(G50+G38-G11)</f>
        <v>60</v>
      </c>
      <c r="H51" s="109"/>
      <c r="I51" s="108">
        <f>+SUM(I50+I38-I11)</f>
        <v>60</v>
      </c>
      <c r="J51" s="109"/>
      <c r="K51" s="108">
        <f>+SUM(K50+K38-K11)</f>
        <v>50</v>
      </c>
      <c r="L51" s="109"/>
      <c r="M51" s="108">
        <f>+SUM(M50+M38-M11)</f>
        <v>40</v>
      </c>
      <c r="N51" s="109"/>
      <c r="O51" s="1"/>
      <c r="P51" s="1"/>
    </row>
    <row r="52" spans="6:16">
      <c r="F52" s="27"/>
      <c r="G52" s="28"/>
      <c r="H52" s="28"/>
      <c r="I52" s="28"/>
      <c r="J52" s="28"/>
      <c r="K52" s="28"/>
      <c r="L52" s="28"/>
      <c r="M52" s="28"/>
      <c r="N52" s="28"/>
      <c r="O52" s="1"/>
      <c r="P52" s="1"/>
    </row>
    <row r="53" spans="6:16" ht="15.75" thickBot="1">
      <c r="F53" s="110" t="s">
        <v>25</v>
      </c>
      <c r="G53" s="110"/>
      <c r="H53" s="110"/>
      <c r="I53" s="110"/>
      <c r="J53" s="110"/>
      <c r="K53" s="110"/>
      <c r="L53" s="110"/>
      <c r="M53" s="110"/>
      <c r="N53" s="110"/>
      <c r="O53" s="1"/>
      <c r="P53" s="1"/>
    </row>
    <row r="54" spans="6:16" ht="16.5" thickTop="1" thickBot="1">
      <c r="F54" s="13" t="s">
        <v>26</v>
      </c>
      <c r="G54" s="8" t="s">
        <v>4</v>
      </c>
      <c r="H54" s="4" t="s">
        <v>5</v>
      </c>
      <c r="I54" s="8" t="s">
        <v>6</v>
      </c>
      <c r="J54" s="4" t="s">
        <v>5</v>
      </c>
      <c r="K54" s="8" t="s">
        <v>7</v>
      </c>
      <c r="L54" s="4" t="s">
        <v>5</v>
      </c>
      <c r="M54" s="8" t="s">
        <v>8</v>
      </c>
      <c r="N54" s="4" t="s">
        <v>5</v>
      </c>
      <c r="O54" s="1"/>
      <c r="P54" s="1">
        <v>60</v>
      </c>
    </row>
    <row r="55" spans="6:16" ht="15.75" thickTop="1">
      <c r="F55" s="14" t="s">
        <v>9</v>
      </c>
      <c r="G55" s="9">
        <v>3</v>
      </c>
      <c r="H55" s="6">
        <f>+IF(G55=1,$B$2,IF($G55=2,$B$3,IF($G55=3,$B$4,IF($G55=4,$B$5,""))))</f>
        <v>15</v>
      </c>
      <c r="I55" s="9">
        <v>2</v>
      </c>
      <c r="J55" s="6">
        <f>+IF(I55=1,$B$2,IF($I55=2,$B$3,IF($I55=3,$B$4,IF($I55=4,$B$5,""))))</f>
        <v>18</v>
      </c>
      <c r="K55" s="9">
        <v>4</v>
      </c>
      <c r="L55" s="6">
        <f>+IF(K55=1,$B$2,IF($K55=2,$B$3,IF($K55=3,$B$4,IF($K55=4,$B$5,""))))</f>
        <v>12</v>
      </c>
      <c r="M55" s="9">
        <v>1</v>
      </c>
      <c r="N55" s="6">
        <f>+IF(M55=1,$B$2,IF($M55=2,$B$3,IF($M55=3,$B$4,IF($M55=4,$B$5,""))))</f>
        <v>25</v>
      </c>
      <c r="O55" s="1"/>
      <c r="P55" s="1"/>
    </row>
    <row r="56" spans="6:16">
      <c r="F56" s="11" t="s">
        <v>11</v>
      </c>
      <c r="G56" s="10">
        <v>2</v>
      </c>
      <c r="H56" s="5">
        <f>+IF(G56=1,$D$2,IF($G56=2,$D$3,IF($G56=3,$D$4,IF($G56=4,$D$5,""))))</f>
        <v>13.5</v>
      </c>
      <c r="I56" s="10">
        <v>3</v>
      </c>
      <c r="J56" s="5">
        <f>+IF(I56=1,$D$2,IF($I56=2,$D$3,IF($I56=3,$D$4,IF($I56=4,$D$5,""))))</f>
        <v>11.25</v>
      </c>
      <c r="K56" s="10">
        <v>4</v>
      </c>
      <c r="L56" s="5">
        <f>+IF(K56=1,$D$2,IF($K56=2,$D$3,IF($K56=3,$D$4,IF($K56=4,$D$5,""))))</f>
        <v>9</v>
      </c>
      <c r="M56" s="10">
        <v>1</v>
      </c>
      <c r="N56" s="5">
        <f>+IF(M56=1,$D$2,IF($M56=2,$D$3,IF($M56=3,$D$4,IF($M56=4,$D$5,""))))</f>
        <v>18.75</v>
      </c>
      <c r="O56" s="1"/>
      <c r="P56" s="1"/>
    </row>
    <row r="57" spans="6:16">
      <c r="F57" s="11" t="s">
        <v>13</v>
      </c>
      <c r="G57" s="10"/>
      <c r="H57" s="5">
        <v>1</v>
      </c>
      <c r="I57" s="10"/>
      <c r="J57" s="5"/>
      <c r="K57" s="10"/>
      <c r="L57" s="5"/>
      <c r="M57" s="10"/>
      <c r="N57" s="5"/>
      <c r="O57" s="1"/>
      <c r="P57" s="1"/>
    </row>
    <row r="58" spans="6:16">
      <c r="F58" s="11" t="s">
        <v>14</v>
      </c>
      <c r="G58" s="10"/>
      <c r="H58" s="5">
        <v>1</v>
      </c>
      <c r="I58" s="10"/>
      <c r="J58" s="5"/>
      <c r="K58" s="10"/>
      <c r="L58" s="5"/>
      <c r="M58" s="10"/>
      <c r="N58" s="5"/>
      <c r="O58" s="1"/>
      <c r="P58" s="1"/>
    </row>
    <row r="59" spans="6:16">
      <c r="F59" s="11" t="s">
        <v>16</v>
      </c>
      <c r="G59" s="10"/>
      <c r="H59" s="5"/>
      <c r="I59" s="10"/>
      <c r="J59" s="5"/>
      <c r="K59" s="10"/>
      <c r="L59" s="5"/>
      <c r="M59" s="10"/>
      <c r="N59" s="5">
        <v>1</v>
      </c>
      <c r="O59" s="1"/>
      <c r="P59" s="1"/>
    </row>
    <row r="60" spans="6:16" ht="15.75" thickBot="1">
      <c r="F60" s="12" t="s">
        <v>17</v>
      </c>
      <c r="G60" s="113">
        <f>+SUM(H55:H59)</f>
        <v>30.5</v>
      </c>
      <c r="H60" s="114"/>
      <c r="I60" s="113">
        <f>+SUM(J55:J59)</f>
        <v>29.25</v>
      </c>
      <c r="J60" s="114"/>
      <c r="K60" s="113">
        <f t="shared" ref="K60" si="3">+SUM(L55:L59)</f>
        <v>21</v>
      </c>
      <c r="L60" s="114"/>
      <c r="M60" s="113">
        <f t="shared" ref="M60" si="4">+SUM(N55:N59)</f>
        <v>44.75</v>
      </c>
      <c r="N60" s="114"/>
      <c r="O60" s="1"/>
      <c r="P60" s="1"/>
    </row>
    <row r="61" spans="6:16" ht="15.75" thickTop="1"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6:16">
      <c r="F62" s="7" t="s">
        <v>19</v>
      </c>
      <c r="G62" s="111">
        <f>+SUM(G60,G49)</f>
        <v>172.5</v>
      </c>
      <c r="H62" s="112"/>
      <c r="I62" s="111">
        <f t="shared" ref="I62" si="5">+SUM(I60,I49)</f>
        <v>178</v>
      </c>
      <c r="J62" s="112"/>
      <c r="K62" s="111">
        <f t="shared" ref="K62" si="6">+SUM(K60,K49)</f>
        <v>127.75</v>
      </c>
      <c r="L62" s="112"/>
      <c r="M62" s="111">
        <f t="shared" ref="M62" si="7">+SUM(M60,M49)</f>
        <v>149.25</v>
      </c>
      <c r="N62" s="112"/>
      <c r="O62" s="1"/>
      <c r="P62" s="1"/>
    </row>
    <row r="63" spans="6:16">
      <c r="F63" s="7" t="s">
        <v>12</v>
      </c>
      <c r="G63" s="108">
        <f>+IF($G55=1,40,IF($G55=2,20,IF($G55=3,10,IF($G55=4,0,""))))</f>
        <v>10</v>
      </c>
      <c r="H63" s="109"/>
      <c r="I63" s="108">
        <f>+IF($I55=1,40,IF($I55=2,20,IF($I55=3,10,IF($I55=4,0,""))))</f>
        <v>20</v>
      </c>
      <c r="J63" s="109"/>
      <c r="K63" s="108">
        <f>+IF($K55=1,40,IF($K55=2,20,IF($K55=3,10,IF($K55=4,0,""))))</f>
        <v>0</v>
      </c>
      <c r="L63" s="109"/>
      <c r="M63" s="108">
        <f>+IF($M55=1,40,IF($M55=2,20,IF($M55=3,10,IF($M55=4,0,""))))</f>
        <v>40</v>
      </c>
      <c r="N63" s="109"/>
      <c r="O63" s="1"/>
      <c r="P63" s="1"/>
    </row>
    <row r="64" spans="6:16">
      <c r="F64" s="15" t="s">
        <v>20</v>
      </c>
      <c r="G64" s="108">
        <f>+SUM(G63+G51-G24)</f>
        <v>70</v>
      </c>
      <c r="H64" s="109"/>
      <c r="I64" s="108">
        <f>+SUM(I63+I51-I24)</f>
        <v>70</v>
      </c>
      <c r="J64" s="109"/>
      <c r="K64" s="108">
        <f>+SUM(K63+K51-K24)</f>
        <v>10</v>
      </c>
      <c r="L64" s="109"/>
      <c r="M64" s="108">
        <f>+SUM(M63+M51-M24)</f>
        <v>60</v>
      </c>
      <c r="N64" s="109"/>
      <c r="O64" s="1"/>
      <c r="P64" s="1"/>
    </row>
    <row r="66" spans="6:16" ht="15.75" thickBot="1">
      <c r="F66" s="110" t="s">
        <v>27</v>
      </c>
      <c r="G66" s="110"/>
      <c r="H66" s="110"/>
      <c r="I66" s="110"/>
      <c r="J66" s="110"/>
      <c r="K66" s="110"/>
      <c r="L66" s="110"/>
      <c r="M66" s="110"/>
      <c r="N66" s="110"/>
      <c r="O66" s="1"/>
      <c r="P66" s="1"/>
    </row>
    <row r="67" spans="6:16" ht="16.5" thickTop="1" thickBot="1">
      <c r="F67" s="13" t="s">
        <v>28</v>
      </c>
      <c r="G67" s="8" t="s">
        <v>4</v>
      </c>
      <c r="H67" s="4" t="s">
        <v>5</v>
      </c>
      <c r="I67" s="8" t="s">
        <v>6</v>
      </c>
      <c r="J67" s="4" t="s">
        <v>5</v>
      </c>
      <c r="K67" s="8" t="s">
        <v>7</v>
      </c>
      <c r="L67" s="4" t="s">
        <v>5</v>
      </c>
      <c r="M67" s="8" t="s">
        <v>8</v>
      </c>
      <c r="N67" s="4" t="s">
        <v>5</v>
      </c>
      <c r="O67" s="1"/>
      <c r="P67" s="1">
        <v>70</v>
      </c>
    </row>
    <row r="68" spans="6:16" ht="15.75" thickTop="1">
      <c r="F68" s="14" t="s">
        <v>9</v>
      </c>
      <c r="G68" s="9">
        <v>3</v>
      </c>
      <c r="H68" s="6">
        <f>+IF(G68=1,$B$2,IF($G68=2,$B$3,IF($G68=3,$B$4,IF($G68=4,$B$5,""))))</f>
        <v>15</v>
      </c>
      <c r="I68" s="9">
        <v>1</v>
      </c>
      <c r="J68" s="6">
        <f>+IF(I68=1,$B$2,IF($I68=2,$B$3,IF($I68=3,$B$4,IF($I68=4,$B$5,""))))</f>
        <v>25</v>
      </c>
      <c r="K68" s="9">
        <v>4</v>
      </c>
      <c r="L68" s="6">
        <f>+IF(K68=1,$B$2,IF($K68=2,$B$3,IF($K68=3,$B$4,IF($K68=4,$B$5,""))))</f>
        <v>12</v>
      </c>
      <c r="M68" s="9">
        <v>2</v>
      </c>
      <c r="N68" s="6">
        <f>+IF(M68=1,$B$2,IF($M68=2,$B$3,IF($M68=3,$B$4,IF($M68=4,$B$5,""))))</f>
        <v>18</v>
      </c>
      <c r="O68" s="1"/>
      <c r="P68" s="1"/>
    </row>
    <row r="69" spans="6:16">
      <c r="F69" s="11" t="s">
        <v>11</v>
      </c>
      <c r="G69" s="10">
        <v>1</v>
      </c>
      <c r="H69" s="5">
        <f>+IF(G69=1,$D$2,IF($G69=2,$D$3,IF($G69=3,$D$4,IF($G69=4,$D$5,""))))</f>
        <v>18.75</v>
      </c>
      <c r="I69" s="10">
        <v>2</v>
      </c>
      <c r="J69" s="5">
        <f>+IF(I69=1,$D$2,IF($I69=2,$D$3,IF($I69=3,$D$4,IF($I69=4,$D$5,""))))</f>
        <v>13.5</v>
      </c>
      <c r="K69" s="10">
        <v>4</v>
      </c>
      <c r="L69" s="5">
        <f>+IF(K69=1,$D$2,IF($K69=2,$D$3,IF($K69=3,$D$4,IF($K69=4,$D$5,""))))</f>
        <v>9</v>
      </c>
      <c r="M69" s="10">
        <v>3</v>
      </c>
      <c r="N69" s="5">
        <f>+IF(M69=1,$D$2,IF($M69=2,$D$3,IF($M69=3,$D$4,IF($M69=4,$D$5,""))))</f>
        <v>11.25</v>
      </c>
      <c r="O69" s="1"/>
      <c r="P69" s="1"/>
    </row>
    <row r="70" spans="6:16">
      <c r="F70" s="11" t="s">
        <v>13</v>
      </c>
      <c r="G70" s="10"/>
      <c r="H70" s="5">
        <v>1</v>
      </c>
      <c r="I70" s="10"/>
      <c r="J70" s="5"/>
      <c r="K70" s="10"/>
      <c r="L70" s="5"/>
      <c r="M70" s="10"/>
      <c r="N70" s="5"/>
      <c r="O70" s="1"/>
      <c r="P70" s="1"/>
    </row>
    <row r="71" spans="6:16">
      <c r="F71" s="11" t="s">
        <v>14</v>
      </c>
      <c r="G71" s="10"/>
      <c r="H71" s="5"/>
      <c r="I71" s="10"/>
      <c r="J71" s="5">
        <v>1</v>
      </c>
      <c r="K71" s="10"/>
      <c r="L71" s="5"/>
      <c r="M71" s="10"/>
      <c r="N71" s="5"/>
      <c r="O71" s="1"/>
      <c r="P71" s="1"/>
    </row>
    <row r="72" spans="6:16">
      <c r="F72" s="11" t="s">
        <v>16</v>
      </c>
      <c r="G72" s="10"/>
      <c r="H72" s="5"/>
      <c r="I72" s="10"/>
      <c r="J72" s="5">
        <v>1</v>
      </c>
      <c r="K72" s="10"/>
      <c r="L72" s="5"/>
      <c r="M72" s="10"/>
      <c r="N72" s="5"/>
      <c r="O72" s="1"/>
      <c r="P72" s="1"/>
    </row>
    <row r="73" spans="6:16" ht="15.75" thickBot="1">
      <c r="F73" s="12" t="s">
        <v>17</v>
      </c>
      <c r="G73" s="113">
        <f>+SUM(H68:H72)</f>
        <v>34.75</v>
      </c>
      <c r="H73" s="114">
        <f>+SUM(H68:H72)</f>
        <v>34.75</v>
      </c>
      <c r="I73" s="113">
        <f>+SUM(J68:J72)</f>
        <v>40.5</v>
      </c>
      <c r="J73" s="114">
        <f>+SUM(J68:J72)</f>
        <v>40.5</v>
      </c>
      <c r="K73" s="113">
        <f>+SUM(L68:L72)</f>
        <v>21</v>
      </c>
      <c r="L73" s="114">
        <f t="shared" ref="L73" si="8">+SUM(L68:L72)</f>
        <v>21</v>
      </c>
      <c r="M73" s="113">
        <f t="shared" ref="M73" si="9">+SUM(N68:N72)</f>
        <v>29.25</v>
      </c>
      <c r="N73" s="114">
        <f t="shared" ref="N73" si="10">+SUM(N68:N72)</f>
        <v>29.25</v>
      </c>
      <c r="O73" s="1"/>
      <c r="P73" s="1"/>
    </row>
    <row r="74" spans="6:16" ht="15.75" thickTop="1"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6:16">
      <c r="F75" s="7" t="s">
        <v>19</v>
      </c>
      <c r="G75" s="111">
        <f>+SUM(G73,G62)</f>
        <v>207.25</v>
      </c>
      <c r="H75" s="112"/>
      <c r="I75" s="111">
        <f>+SUM(I73,I62)</f>
        <v>218.5</v>
      </c>
      <c r="J75" s="112"/>
      <c r="K75" s="111">
        <f>+SUM(K73,K62)</f>
        <v>148.75</v>
      </c>
      <c r="L75" s="112"/>
      <c r="M75" s="111">
        <f>+SUM(M73,M62)</f>
        <v>178.5</v>
      </c>
      <c r="N75" s="112"/>
      <c r="O75" s="1"/>
      <c r="P75" s="1"/>
    </row>
    <row r="76" spans="6:16">
      <c r="F76" s="7" t="s">
        <v>12</v>
      </c>
      <c r="G76" s="108">
        <f>+IF($G68=1,40,IF($G68=2,20,IF($G68=3,10,IF($G68=4,0,""))))</f>
        <v>10</v>
      </c>
      <c r="H76" s="109"/>
      <c r="I76" s="108">
        <f>+IF($I68=1,40,IF($I68=2,20,IF($I68=3,10,IF($I68=4,0,""))))</f>
        <v>40</v>
      </c>
      <c r="J76" s="109"/>
      <c r="K76" s="108">
        <f>+IF($K68=1,40,IF($K68=2,20,IF($K68=3,10,IF($K68=4,0,""))))</f>
        <v>0</v>
      </c>
      <c r="L76" s="109"/>
      <c r="M76" s="108">
        <f>+IF($M68=1,40,IF($M68=2,20,IF($M68=3,10,IF($M68=4,0,""))))</f>
        <v>20</v>
      </c>
      <c r="N76" s="109"/>
      <c r="O76" s="1"/>
      <c r="P76" s="1"/>
    </row>
    <row r="77" spans="6:16">
      <c r="F77" s="15" t="s">
        <v>20</v>
      </c>
      <c r="G77" s="108">
        <f>+SUM(G76+G64-G37)</f>
        <v>60</v>
      </c>
      <c r="H77" s="109"/>
      <c r="I77" s="108">
        <f>+SUM(I76+I64-I37)</f>
        <v>70</v>
      </c>
      <c r="J77" s="109"/>
      <c r="K77" s="108">
        <f>+SUM(K76+K64-K37)</f>
        <v>0</v>
      </c>
      <c r="L77" s="109"/>
      <c r="M77" s="108">
        <f>+SUM(M76+M64-M37)</f>
        <v>80</v>
      </c>
      <c r="N77" s="109"/>
      <c r="O77" s="1"/>
      <c r="P77" s="1"/>
    </row>
    <row r="79" spans="6:16" ht="15.75" thickBot="1">
      <c r="F79" s="110" t="s">
        <v>29</v>
      </c>
      <c r="G79" s="110"/>
      <c r="H79" s="110"/>
      <c r="I79" s="110"/>
      <c r="J79" s="110"/>
      <c r="K79" s="110"/>
      <c r="L79" s="110"/>
      <c r="M79" s="110"/>
      <c r="N79" s="110"/>
      <c r="O79" s="1"/>
      <c r="P79" s="1"/>
    </row>
    <row r="80" spans="6:16" ht="16.5" thickTop="1" thickBot="1">
      <c r="F80" s="13" t="s">
        <v>30</v>
      </c>
      <c r="G80" s="8" t="s">
        <v>4</v>
      </c>
      <c r="H80" s="4" t="s">
        <v>5</v>
      </c>
      <c r="I80" s="8" t="s">
        <v>6</v>
      </c>
      <c r="J80" s="4" t="s">
        <v>5</v>
      </c>
      <c r="K80" s="8" t="s">
        <v>7</v>
      </c>
      <c r="L80" s="4" t="s">
        <v>5</v>
      </c>
      <c r="M80" s="8" t="s">
        <v>8</v>
      </c>
      <c r="N80" s="4" t="s">
        <v>5</v>
      </c>
      <c r="O80" s="1"/>
      <c r="P80" s="1">
        <v>60</v>
      </c>
    </row>
    <row r="81" spans="6:26" ht="15.75" thickTop="1">
      <c r="F81" s="14" t="s">
        <v>9</v>
      </c>
      <c r="G81" s="9">
        <v>1</v>
      </c>
      <c r="H81" s="6">
        <f>+IF(G81=1,$B$2,IF($G81=2,$B$3,IF($G81=3,$B$4,IF($G81=4,$B$5,""))))</f>
        <v>25</v>
      </c>
      <c r="I81" s="9">
        <v>2</v>
      </c>
      <c r="J81" s="6">
        <f>+IF(I81=1,$B$2,IF($I81=2,$B$3,IF($I81=3,$B$4,IF($I81=4,$B$5,""))))</f>
        <v>18</v>
      </c>
      <c r="K81" s="9">
        <v>3</v>
      </c>
      <c r="L81" s="6">
        <f>+IF(K81=1,$B$2,IF($K81=2,$B$3,IF($K81=3,$B$4,IF($K81=4,$B$5,""))))</f>
        <v>15</v>
      </c>
      <c r="M81" s="9">
        <v>4</v>
      </c>
      <c r="N81" s="6">
        <f>+IF(M81=1,$B$2,IF($M81=2,$B$3,IF($M81=3,$B$4,IF($M81=4,$B$5,""))))</f>
        <v>12</v>
      </c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6:26">
      <c r="F82" s="11" t="s">
        <v>11</v>
      </c>
      <c r="G82" s="10">
        <v>2</v>
      </c>
      <c r="H82" s="5">
        <f>+IF(G82=1,$D$2,IF($G82=2,$D$3,IF($G82=3,$D$4,IF($G82=4,$D$5,""))))</f>
        <v>13.5</v>
      </c>
      <c r="I82" s="10">
        <v>3</v>
      </c>
      <c r="J82" s="5">
        <f>+IF(I82=1,$D$2,IF($I82=2,$D$3,IF($I82=3,$D$4,IF($I82=4,$D$5,""))))</f>
        <v>11.25</v>
      </c>
      <c r="K82" s="10">
        <v>4</v>
      </c>
      <c r="L82" s="5">
        <f>+IF(K82=1,$D$2,IF($K82=2,$D$3,IF($K82=3,$D$4,IF($K82=4,$D$5,""))))</f>
        <v>9</v>
      </c>
      <c r="M82" s="10">
        <v>1</v>
      </c>
      <c r="N82" s="5">
        <f>+IF(M82=1,$D$2,IF($M82=2,$D$3,IF($M82=3,$D$4,IF($M82=4,$D$5,""))))</f>
        <v>18.75</v>
      </c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6:26">
      <c r="F83" s="11" t="s">
        <v>13</v>
      </c>
      <c r="G83" s="10"/>
      <c r="H83" s="5">
        <v>1</v>
      </c>
      <c r="I83" s="10"/>
      <c r="J83" s="5"/>
      <c r="K83" s="10"/>
      <c r="L83" s="5"/>
      <c r="M83" s="10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6:26">
      <c r="F84" s="11" t="s">
        <v>14</v>
      </c>
      <c r="G84" s="10"/>
      <c r="H84" s="5">
        <v>1</v>
      </c>
      <c r="I84" s="10"/>
      <c r="J84" s="5"/>
      <c r="K84" s="10"/>
      <c r="L84" s="5"/>
      <c r="M84" s="10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6:26">
      <c r="F85" s="11" t="s">
        <v>16</v>
      </c>
      <c r="G85" s="10"/>
      <c r="H85" s="5"/>
      <c r="I85" s="10"/>
      <c r="J85" s="5">
        <v>1</v>
      </c>
      <c r="K85" s="10"/>
      <c r="L85" s="5"/>
      <c r="M85" s="10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6:26" ht="15.75" thickBot="1">
      <c r="F86" s="12" t="s">
        <v>17</v>
      </c>
      <c r="G86" s="113">
        <f>+SUM(H81:H85)</f>
        <v>40.5</v>
      </c>
      <c r="H86" s="114">
        <f>+SUM(H81:H85)</f>
        <v>40.5</v>
      </c>
      <c r="I86" s="113">
        <f>+SUM(J81:J85)</f>
        <v>30.25</v>
      </c>
      <c r="J86" s="114">
        <f>+SUM(J81:J85)</f>
        <v>30.25</v>
      </c>
      <c r="K86" s="113">
        <f t="shared" ref="K86:N86" si="11">+SUM(L81:L85)</f>
        <v>24</v>
      </c>
      <c r="L86" s="114">
        <f t="shared" ref="L86" si="12">+SUM(L81:L85)</f>
        <v>24</v>
      </c>
      <c r="M86" s="113">
        <f t="shared" ref="M86:N86" si="13">+SUM(N81:N85)</f>
        <v>30.75</v>
      </c>
      <c r="N86" s="114">
        <f t="shared" ref="N86" si="14">+SUM(N81:N85)</f>
        <v>30.75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6:26"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6:26">
      <c r="F88" s="7" t="s">
        <v>19</v>
      </c>
      <c r="G88" s="111">
        <f>+SUM(G86,G75)</f>
        <v>247.75</v>
      </c>
      <c r="H88" s="112"/>
      <c r="I88" s="111">
        <f>+SUM(I86,I75)</f>
        <v>248.75</v>
      </c>
      <c r="J88" s="112"/>
      <c r="K88" s="111">
        <f>+SUM(K86,K75)</f>
        <v>172.75</v>
      </c>
      <c r="L88" s="112"/>
      <c r="M88" s="111">
        <f>+SUM(M86,M75)</f>
        <v>209.25</v>
      </c>
      <c r="N88" s="112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6:26">
      <c r="F89" s="7" t="s">
        <v>12</v>
      </c>
      <c r="G89" s="108">
        <f>+IF($G81=1,40,IF($G81=2,20,IF($G81=3,10,IF($G81=4,0,""))))</f>
        <v>40</v>
      </c>
      <c r="H89" s="109"/>
      <c r="I89" s="108">
        <f>+IF($I81=1,40,IF($I81=2,20,IF($I81=3,10,IF($I81=4,0,""))))</f>
        <v>20</v>
      </c>
      <c r="J89" s="109"/>
      <c r="K89" s="108">
        <f>+IF($K81=1,40,IF($K81=2,20,IF($K81=3,10,IF($K81=4,0,""))))</f>
        <v>10</v>
      </c>
      <c r="L89" s="109"/>
      <c r="M89" s="108">
        <f>+IF($M81=1,40,IF($M81=2,20,IF($M81=3,10,IF($M81=4,0,""))))</f>
        <v>0</v>
      </c>
      <c r="N89" s="109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6:26">
      <c r="F90" s="15" t="s">
        <v>20</v>
      </c>
      <c r="G90" s="108">
        <f>+SUM(G89+G77-G50)</f>
        <v>60</v>
      </c>
      <c r="H90" s="109"/>
      <c r="I90" s="108">
        <f>+SUM(I89+I77-I50)</f>
        <v>80</v>
      </c>
      <c r="J90" s="109"/>
      <c r="K90" s="108">
        <f>+SUM(K89+K77-K50)</f>
        <v>10</v>
      </c>
      <c r="L90" s="109"/>
      <c r="M90" s="108">
        <f>+SUM(M89+M77-M50)</f>
        <v>60</v>
      </c>
      <c r="N90" s="109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6:26"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6:26">
      <c r="F92" s="110" t="s">
        <v>31</v>
      </c>
      <c r="G92" s="110"/>
      <c r="H92" s="110"/>
      <c r="I92" s="110"/>
      <c r="J92" s="110"/>
      <c r="K92" s="110"/>
      <c r="L92" s="110"/>
      <c r="M92" s="110"/>
      <c r="N92" s="110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6:26" ht="16.5" customHeight="1">
      <c r="F93" s="13" t="s">
        <v>32</v>
      </c>
      <c r="G93" s="8" t="s">
        <v>4</v>
      </c>
      <c r="H93" s="4" t="s">
        <v>5</v>
      </c>
      <c r="I93" s="8" t="s">
        <v>6</v>
      </c>
      <c r="J93" s="4" t="s">
        <v>5</v>
      </c>
      <c r="K93" s="8" t="s">
        <v>7</v>
      </c>
      <c r="L93" s="4" t="s">
        <v>5</v>
      </c>
      <c r="M93" s="8" t="s">
        <v>8</v>
      </c>
      <c r="N93" s="4" t="s">
        <v>5</v>
      </c>
      <c r="O93" s="1"/>
      <c r="P93" s="1">
        <v>60</v>
      </c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6:26" ht="15.75" customHeight="1">
      <c r="F94" s="14" t="s">
        <v>9</v>
      </c>
      <c r="G94" s="9">
        <v>2</v>
      </c>
      <c r="H94" s="6">
        <f>+IF(G94=1,$B$2,IF($G94=2,$B$3,IF($G94=3,$B$4,IF($G94=4,$B$5,""))))</f>
        <v>18</v>
      </c>
      <c r="I94" s="9">
        <v>1</v>
      </c>
      <c r="J94" s="6">
        <f>+IF(I94=1,$B$2,IF($I94=2,$B$3,IF($I94=3,$B$4,IF($I94=4,$B$5,""))))</f>
        <v>25</v>
      </c>
      <c r="K94" s="9">
        <v>3</v>
      </c>
      <c r="L94" s="6">
        <f>+IF(K94=1,$B$2,IF($K94=2,$B$3,IF($K94=3,$B$4,IF($K94=4,$B$5,""))))</f>
        <v>15</v>
      </c>
      <c r="M94" s="9">
        <v>4</v>
      </c>
      <c r="N94" s="6">
        <f>+IF(M94=1,$B$2,IF($M94=2,$B$3,IF($M94=3,$B$4,IF($M94=4,$B$5,""))))</f>
        <v>12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6:26">
      <c r="F95" s="11" t="s">
        <v>11</v>
      </c>
      <c r="G95" s="10">
        <v>1</v>
      </c>
      <c r="H95" s="5">
        <f>+IF(G95=1,$D$2,IF($G95=2,$D$3,IF($G95=3,$D$4,IF($G95=4,$D$5,""))))</f>
        <v>18.75</v>
      </c>
      <c r="I95" s="10">
        <v>2</v>
      </c>
      <c r="J95" s="5">
        <f>+IF(I95=1,$D$2,IF($I95=2,$D$3,IF($I95=3,$D$4,IF($I95=4,$D$5,""))))</f>
        <v>13.5</v>
      </c>
      <c r="K95" s="10">
        <v>4</v>
      </c>
      <c r="L95" s="5">
        <f>+IF(K95=1,$D$2,IF($K95=2,$D$3,IF($K95=3,$D$4,IF($K95=4,$D$5,""))))</f>
        <v>9</v>
      </c>
      <c r="M95" s="10">
        <v>3</v>
      </c>
      <c r="N95" s="5">
        <f>+IF(M95=1,$D$2,IF($M95=2,$D$3,IF($M95=3,$D$4,IF($M95=4,$D$5,""))))</f>
        <v>11.25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6:26">
      <c r="F96" s="11" t="s">
        <v>13</v>
      </c>
      <c r="G96" s="10"/>
      <c r="H96" s="5">
        <v>1</v>
      </c>
      <c r="I96" s="10"/>
      <c r="J96" s="5"/>
      <c r="K96" s="10"/>
      <c r="L96" s="5"/>
      <c r="M96" s="10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6:23">
      <c r="F97" s="11" t="s">
        <v>14</v>
      </c>
      <c r="G97" s="10"/>
      <c r="H97" s="5">
        <v>1</v>
      </c>
      <c r="I97" s="10"/>
      <c r="J97" s="5"/>
      <c r="K97" s="10"/>
      <c r="L97" s="5"/>
      <c r="M97" s="10"/>
      <c r="N97" s="5"/>
      <c r="O97" s="1"/>
      <c r="P97" s="1"/>
      <c r="Q97" s="1"/>
      <c r="R97" s="1"/>
      <c r="S97" s="1"/>
      <c r="T97" s="1"/>
      <c r="U97" s="1"/>
      <c r="V97" s="1"/>
      <c r="W97" s="1"/>
    </row>
    <row r="98" spans="6:23">
      <c r="F98" s="11" t="s">
        <v>16</v>
      </c>
      <c r="G98" s="10"/>
      <c r="H98" s="5">
        <v>1</v>
      </c>
      <c r="I98" s="10"/>
      <c r="J98" s="5"/>
      <c r="K98" s="10"/>
      <c r="L98" s="5"/>
      <c r="M98" s="10"/>
      <c r="N98" s="5"/>
      <c r="O98" s="1"/>
      <c r="P98" s="1"/>
      <c r="Q98" s="1"/>
      <c r="R98" s="1"/>
      <c r="S98" s="1"/>
      <c r="T98" s="1"/>
      <c r="U98" s="1"/>
      <c r="V98" s="1"/>
      <c r="W98" s="1"/>
    </row>
    <row r="99" spans="6:23" ht="15.75" customHeight="1">
      <c r="F99" s="12" t="s">
        <v>17</v>
      </c>
      <c r="G99" s="113">
        <f>+SUM(H94:H98)</f>
        <v>39.75</v>
      </c>
      <c r="H99" s="114">
        <f>+SUM(H94:H98)</f>
        <v>39.75</v>
      </c>
      <c r="I99" s="113">
        <f>+SUM(J94:J98)</f>
        <v>38.5</v>
      </c>
      <c r="J99" s="114">
        <f>+SUM(J94:J98)</f>
        <v>38.5</v>
      </c>
      <c r="K99" s="113">
        <f t="shared" ref="K99" si="15">+SUM(L94:L98)</f>
        <v>24</v>
      </c>
      <c r="L99" s="114">
        <f t="shared" ref="L99" si="16">+SUM(L94:L98)</f>
        <v>24</v>
      </c>
      <c r="M99" s="113">
        <f t="shared" ref="M99" si="17">+SUM(N94:N98)</f>
        <v>23.25</v>
      </c>
      <c r="N99" s="114">
        <f t="shared" ref="N99" si="18">+SUM(N94:N98)</f>
        <v>23.25</v>
      </c>
      <c r="O99" s="1"/>
      <c r="P99" s="1"/>
      <c r="Q99" s="1"/>
      <c r="R99" s="1"/>
      <c r="S99" s="1"/>
      <c r="T99" s="1"/>
      <c r="U99" s="1"/>
      <c r="V99" s="1"/>
      <c r="W99" s="1"/>
    </row>
    <row r="100" spans="6:23"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6:23">
      <c r="F101" s="7" t="s">
        <v>19</v>
      </c>
      <c r="G101" s="111">
        <f>+SUM(G99,G88)</f>
        <v>287.5</v>
      </c>
      <c r="H101" s="112"/>
      <c r="I101" s="111">
        <f>+SUM(I99,I88)</f>
        <v>287.25</v>
      </c>
      <c r="J101" s="112"/>
      <c r="K101" s="111">
        <f>+SUM(K99,K88)</f>
        <v>196.75</v>
      </c>
      <c r="L101" s="112"/>
      <c r="M101" s="111">
        <f>+SUM(M99,M88)</f>
        <v>232.5</v>
      </c>
      <c r="N101" s="112"/>
      <c r="O101" s="1"/>
      <c r="P101" s="1"/>
      <c r="Q101" s="1"/>
      <c r="R101" s="1"/>
      <c r="S101" s="1"/>
      <c r="T101" s="1"/>
      <c r="U101" s="1"/>
      <c r="V101" s="1"/>
      <c r="W101" s="1"/>
    </row>
    <row r="102" spans="6:23">
      <c r="F102" s="7" t="s">
        <v>12</v>
      </c>
      <c r="G102" s="108">
        <f>+IF($G94=1,40,IF($G94=2,20,IF($G94=3,10,IF($G94=4,0,""))))</f>
        <v>20</v>
      </c>
      <c r="H102" s="109"/>
      <c r="I102" s="108">
        <f>+IF($I94=1,40,IF($I94=2,20,IF($I94=3,10,IF($I94=4,0,""))))</f>
        <v>40</v>
      </c>
      <c r="J102" s="109"/>
      <c r="K102" s="108">
        <f>+IF($K94=1,40,IF($K94=2,20,IF($K94=3,10,IF($K94=4,0,""))))</f>
        <v>10</v>
      </c>
      <c r="L102" s="109"/>
      <c r="M102" s="108">
        <f>+IF($M94=1,40,IF($M94=2,20,IF($M94=3,10,IF($M94=4,0,""))))</f>
        <v>0</v>
      </c>
      <c r="N102" s="109"/>
      <c r="O102" s="1"/>
      <c r="P102" s="1"/>
      <c r="Q102" s="1"/>
      <c r="R102" s="1"/>
      <c r="S102" s="1"/>
      <c r="T102" s="1"/>
      <c r="U102" s="1"/>
      <c r="V102" s="1"/>
      <c r="W102" s="1"/>
    </row>
    <row r="103" spans="6:23">
      <c r="F103" s="15" t="s">
        <v>20</v>
      </c>
      <c r="G103" s="108">
        <f>+SUM(G102+G90-G63)</f>
        <v>70</v>
      </c>
      <c r="H103" s="109"/>
      <c r="I103" s="108">
        <f>+SUM(I102+I90-I63)</f>
        <v>100</v>
      </c>
      <c r="J103" s="109"/>
      <c r="K103" s="108">
        <f>+SUM(K102+K90-K63)</f>
        <v>20</v>
      </c>
      <c r="L103" s="109"/>
      <c r="M103" s="108">
        <f>+SUM(M102+M90-M63)</f>
        <v>20</v>
      </c>
      <c r="N103" s="109"/>
      <c r="O103" s="1"/>
      <c r="P103" s="1"/>
      <c r="Q103" s="1"/>
      <c r="R103" s="1"/>
      <c r="S103" s="1"/>
      <c r="T103" s="1"/>
      <c r="U103" s="1"/>
      <c r="V103" s="1"/>
      <c r="W103" s="101"/>
    </row>
    <row r="105" spans="6:23">
      <c r="F105" s="110" t="s">
        <v>33</v>
      </c>
      <c r="G105" s="110"/>
      <c r="H105" s="110"/>
      <c r="I105" s="110"/>
      <c r="J105" s="110"/>
      <c r="K105" s="110"/>
      <c r="L105" s="110"/>
      <c r="M105" s="110"/>
      <c r="N105" s="110"/>
      <c r="O105" s="1"/>
      <c r="P105" s="1"/>
      <c r="Q105" s="1"/>
      <c r="R105" s="1"/>
      <c r="S105" s="1"/>
      <c r="T105" s="1"/>
      <c r="U105" s="1"/>
      <c r="V105" s="1"/>
      <c r="W105" s="1"/>
    </row>
    <row r="106" spans="6:23">
      <c r="F106" s="13" t="s">
        <v>34</v>
      </c>
      <c r="G106" s="8" t="s">
        <v>4</v>
      </c>
      <c r="H106" s="4" t="s">
        <v>5</v>
      </c>
      <c r="I106" s="8" t="s">
        <v>6</v>
      </c>
      <c r="J106" s="4" t="s">
        <v>5</v>
      </c>
      <c r="K106" s="8" t="s">
        <v>7</v>
      </c>
      <c r="L106" s="4" t="s">
        <v>5</v>
      </c>
      <c r="M106" s="8" t="s">
        <v>8</v>
      </c>
      <c r="N106" s="4" t="s">
        <v>5</v>
      </c>
      <c r="O106" s="1"/>
      <c r="P106" s="1">
        <v>70</v>
      </c>
      <c r="Q106" s="1"/>
      <c r="R106" s="1"/>
      <c r="S106" s="1"/>
      <c r="T106" s="1"/>
      <c r="U106" s="1"/>
      <c r="V106" s="1"/>
      <c r="W106" s="1"/>
    </row>
    <row r="107" spans="6:23">
      <c r="F107" s="14" t="s">
        <v>9</v>
      </c>
      <c r="G107" s="9">
        <v>1</v>
      </c>
      <c r="H107" s="6">
        <f>+IF(G107=1,$B$2,IF($G107=2,$B$3,IF($G107=3,$B$4,IF($G107=4,$B$5,""))))</f>
        <v>25</v>
      </c>
      <c r="I107" s="9">
        <v>3</v>
      </c>
      <c r="J107" s="6">
        <f>+IF(I107=1,$B$2,IF($I107=2,$B$3,IF($I107=3,$B$4,IF($I107=4,$B$5,""))))</f>
        <v>15</v>
      </c>
      <c r="K107" s="9">
        <v>4</v>
      </c>
      <c r="L107" s="6">
        <f>+IF(K107=1,$B$2,IF($K107=2,$B$3,IF($K107=3,$B$4,IF($K107=4,$B$5,""))))</f>
        <v>12</v>
      </c>
      <c r="M107" s="9">
        <v>2</v>
      </c>
      <c r="N107" s="6">
        <f>+IF(M107=1,$B$2,IF($M107=2,$B$3,IF($M107=3,$B$4,IF($M107=4,$B$5,""))))</f>
        <v>18</v>
      </c>
      <c r="O107" s="1"/>
      <c r="P107" s="1"/>
      <c r="Q107" s="1"/>
      <c r="R107" s="1"/>
      <c r="S107" s="1"/>
      <c r="T107" s="1"/>
      <c r="U107" s="1"/>
      <c r="V107" s="1"/>
      <c r="W107" s="1"/>
    </row>
    <row r="108" spans="6:23">
      <c r="F108" s="11" t="s">
        <v>11</v>
      </c>
      <c r="G108" s="10"/>
      <c r="H108" s="5" t="str">
        <f>+IF(G108=1,$D$2,IF($G108=2,$D$3,IF($G108=3,$D$4,IF($G108=4,$D$5,""))))</f>
        <v/>
      </c>
      <c r="I108" s="10"/>
      <c r="J108" s="5" t="str">
        <f>+IF(I108=1,$D$2,IF($I108=2,$D$3,IF($I108=3,$D$4,IF($I108=4,$D$5,""))))</f>
        <v/>
      </c>
      <c r="K108" s="10"/>
      <c r="L108" s="5" t="str">
        <f>+IF(K108=1,$D$2,IF($K108=2,$D$3,IF($K108=3,$D$4,IF($K108=4,$D$5,""))))</f>
        <v/>
      </c>
      <c r="M108" s="104"/>
      <c r="N108" s="5" t="str">
        <f>+IF(M108=1,$D$2,IF($M108=2,$D$3,IF($M108=3,$D$4,IF($M108=4,$D$5,""))))</f>
        <v/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6:23">
      <c r="F109" s="11" t="s">
        <v>13</v>
      </c>
      <c r="G109" s="10"/>
      <c r="H109" s="5">
        <v>1</v>
      </c>
      <c r="I109" s="10"/>
      <c r="J109" s="5"/>
      <c r="K109" s="10"/>
      <c r="L109" s="5"/>
      <c r="M109" s="10"/>
      <c r="N109" s="5"/>
      <c r="O109" s="1"/>
      <c r="P109" s="1"/>
      <c r="Q109" s="1"/>
      <c r="R109" s="1"/>
      <c r="S109" s="1"/>
      <c r="T109" s="1"/>
      <c r="U109" s="1"/>
      <c r="V109" s="1"/>
      <c r="W109" s="1"/>
    </row>
    <row r="110" spans="6:23">
      <c r="F110" s="11" t="s">
        <v>14</v>
      </c>
      <c r="G110" s="10"/>
      <c r="H110" s="5">
        <v>1</v>
      </c>
      <c r="I110" s="10"/>
      <c r="J110" s="5"/>
      <c r="K110" s="10"/>
      <c r="L110" s="5"/>
      <c r="M110" s="10"/>
      <c r="N110" s="5"/>
      <c r="O110" s="1"/>
      <c r="P110" s="1"/>
      <c r="Q110" s="1"/>
      <c r="R110" s="1"/>
      <c r="S110" s="1"/>
      <c r="T110" s="1"/>
      <c r="U110" s="1"/>
      <c r="V110" s="1"/>
      <c r="W110" s="1"/>
    </row>
    <row r="111" spans="6:23">
      <c r="F111" s="11" t="s">
        <v>16</v>
      </c>
      <c r="G111" s="10"/>
      <c r="H111" s="5"/>
      <c r="I111" s="10"/>
      <c r="J111" s="5"/>
      <c r="K111" s="10"/>
      <c r="L111" s="5"/>
      <c r="M111" s="10"/>
      <c r="N111" s="5"/>
      <c r="O111" s="1"/>
      <c r="P111" s="1"/>
      <c r="Q111" s="1"/>
      <c r="R111" s="1"/>
      <c r="S111" s="1"/>
      <c r="T111" s="1"/>
      <c r="U111" s="1"/>
      <c r="V111" s="1"/>
      <c r="W111" s="1"/>
    </row>
    <row r="112" spans="6:23" ht="15.75" customHeight="1">
      <c r="F112" s="12" t="s">
        <v>17</v>
      </c>
      <c r="G112" s="113">
        <f>+SUM(H107:H111)</f>
        <v>27</v>
      </c>
      <c r="H112" s="114">
        <f>+SUM(H107:H111)</f>
        <v>27</v>
      </c>
      <c r="I112" s="113">
        <f>+SUM(J107:J111)</f>
        <v>15</v>
      </c>
      <c r="J112" s="114">
        <f>+SUM(J107:J111)</f>
        <v>15</v>
      </c>
      <c r="K112" s="113">
        <f>+SUM(L107:L111)</f>
        <v>12</v>
      </c>
      <c r="L112" s="114">
        <f>+SUM(L107:L111)</f>
        <v>12</v>
      </c>
      <c r="M112" s="113">
        <f>+SUM(N107:N111)</f>
        <v>18</v>
      </c>
      <c r="N112" s="114">
        <f>+SUM(N107:N111)</f>
        <v>18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6:23"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6:23">
      <c r="F114" s="7" t="s">
        <v>19</v>
      </c>
      <c r="G114" s="111">
        <f>+SUM(G112,G101)</f>
        <v>314.5</v>
      </c>
      <c r="H114" s="112"/>
      <c r="I114" s="111">
        <f>+SUM(I112,I101)</f>
        <v>302.25</v>
      </c>
      <c r="J114" s="112"/>
      <c r="K114" s="111">
        <f>+SUM(K112,K101)</f>
        <v>208.75</v>
      </c>
      <c r="L114" s="112"/>
      <c r="M114" s="111">
        <f>+SUM(M112,M101)</f>
        <v>250.5</v>
      </c>
      <c r="N114" s="112"/>
      <c r="O114" s="1"/>
      <c r="P114" s="1"/>
      <c r="Q114" s="1"/>
      <c r="R114" s="1">
        <v>348.5</v>
      </c>
      <c r="S114" s="1">
        <f>+SUM(R114+21.5)</f>
        <v>370</v>
      </c>
      <c r="T114" s="1"/>
      <c r="U114" s="1">
        <f>+SUM(S114-46.75)</f>
        <v>323.25</v>
      </c>
      <c r="V114" s="1"/>
      <c r="W114" s="1"/>
    </row>
    <row r="115" spans="6:23">
      <c r="F115" s="7" t="s">
        <v>12</v>
      </c>
      <c r="G115" s="108">
        <f>+IF($G107=1,40,IF($G107=2,20,IF($G107=3,10,IF($G107=4,0,""))))</f>
        <v>40</v>
      </c>
      <c r="H115" s="109"/>
      <c r="I115" s="108">
        <f>+IF($I107=1,40,IF($I107=2,20,IF($I107=3,10,IF($I107=4,0,""))))</f>
        <v>10</v>
      </c>
      <c r="J115" s="109"/>
      <c r="K115" s="108">
        <f>+IF($K107=1,40,IF($K107=2,20,IF($K107=3,10,IF($K107=4,0,""))))</f>
        <v>0</v>
      </c>
      <c r="L115" s="109"/>
      <c r="M115" s="108">
        <f>+IF($M107=1,40,IF($M107=2,20,IF($M107=3,10,IF($M107=4,0,""))))</f>
        <v>20</v>
      </c>
      <c r="N115" s="109"/>
      <c r="O115" s="1"/>
      <c r="P115" s="1"/>
      <c r="Q115" s="1"/>
      <c r="R115" s="1"/>
      <c r="S115" s="1"/>
      <c r="T115" s="1"/>
      <c r="U115" s="1"/>
      <c r="V115" s="1"/>
      <c r="W115" s="1"/>
    </row>
    <row r="116" spans="6:23">
      <c r="F116" s="15" t="s">
        <v>20</v>
      </c>
      <c r="G116" s="108">
        <f>+SUM(G115+G103-G76)</f>
        <v>100</v>
      </c>
      <c r="H116" s="109"/>
      <c r="I116" s="108">
        <f>+SUM(I115+I103-I76)</f>
        <v>70</v>
      </c>
      <c r="J116" s="109"/>
      <c r="K116" s="108">
        <f>+SUM(K115+K103-K76)</f>
        <v>20</v>
      </c>
      <c r="L116" s="109"/>
      <c r="M116" s="108">
        <f>+SUM(M115+M103-M76)</f>
        <v>20</v>
      </c>
      <c r="N116" s="109"/>
      <c r="O116" s="1"/>
      <c r="P116" s="1"/>
      <c r="Q116" s="1"/>
      <c r="R116" s="1"/>
      <c r="S116" s="1"/>
      <c r="T116" s="1"/>
      <c r="U116" s="1"/>
      <c r="V116" s="1"/>
      <c r="W116" s="1"/>
    </row>
    <row r="118" spans="6:23">
      <c r="F118" s="110" t="s">
        <v>35</v>
      </c>
      <c r="G118" s="110"/>
      <c r="H118" s="110"/>
      <c r="I118" s="110"/>
      <c r="J118" s="110"/>
      <c r="K118" s="110"/>
      <c r="L118" s="110"/>
      <c r="M118" s="110"/>
      <c r="N118" s="110"/>
      <c r="O118" s="1"/>
      <c r="P118" s="1"/>
      <c r="Q118" s="1"/>
      <c r="R118" s="1"/>
      <c r="S118" s="1"/>
      <c r="T118" s="1"/>
      <c r="U118" s="1"/>
      <c r="V118" s="1"/>
      <c r="W118" s="1"/>
    </row>
    <row r="119" spans="6:23">
      <c r="F119" s="13" t="s">
        <v>36</v>
      </c>
      <c r="G119" s="8" t="s">
        <v>4</v>
      </c>
      <c r="H119" s="4" t="s">
        <v>5</v>
      </c>
      <c r="I119" s="8" t="s">
        <v>6</v>
      </c>
      <c r="J119" s="4" t="s">
        <v>5</v>
      </c>
      <c r="K119" s="8" t="s">
        <v>7</v>
      </c>
      <c r="L119" s="4" t="s">
        <v>5</v>
      </c>
      <c r="M119" s="8" t="s">
        <v>8</v>
      </c>
      <c r="N119" s="4" t="s">
        <v>5</v>
      </c>
      <c r="O119" s="1"/>
      <c r="P119" s="1">
        <v>100</v>
      </c>
      <c r="Q119" s="1"/>
      <c r="R119" s="1"/>
      <c r="S119" s="1"/>
      <c r="T119" s="1"/>
      <c r="U119" s="1"/>
      <c r="V119" s="1"/>
      <c r="W119" s="1"/>
    </row>
    <row r="120" spans="6:23">
      <c r="F120" s="14" t="s">
        <v>9</v>
      </c>
      <c r="G120" s="9"/>
      <c r="H120" s="6" t="str">
        <f>+IF(G120=1,$P$128,IF($G120=2,$P$129,IF($G120=3,$B$4,IF($G120=4,$B$5,""))))</f>
        <v/>
      </c>
      <c r="I120" s="9"/>
      <c r="J120" s="6" t="str">
        <f>+IF(I120=1,$P$128,IF($G120=2,$P$129,IF($G120=3,$B$4,IF($G120=4,$B$5,""))))</f>
        <v/>
      </c>
      <c r="K120" s="9"/>
      <c r="L120" s="6" t="str">
        <f>+IF(K120=1,$B$2,IF($K120=2,$B$3,IF($K120=3,$B$4,IF($K120=4,$B$5,""))))</f>
        <v/>
      </c>
      <c r="M120" s="9"/>
      <c r="N120" s="6" t="str">
        <f>+IF(M120=1,$B$2,IF($M120=2,$B$3,IF($M120=3,$B$4,IF($M120=4,$B$5,""))))</f>
        <v/>
      </c>
      <c r="O120" s="1"/>
      <c r="P120" s="1"/>
      <c r="Q120" s="1"/>
      <c r="R120" s="1"/>
      <c r="S120" s="1"/>
      <c r="T120" s="1"/>
      <c r="U120" s="1"/>
      <c r="V120" s="1"/>
      <c r="W120" s="1"/>
    </row>
    <row r="121" spans="6:23">
      <c r="F121" s="11" t="s">
        <v>11</v>
      </c>
      <c r="G121" s="10"/>
      <c r="H121" s="6" t="str">
        <f>+IF(G121=1,$Q$128,IF($G121=2,$Q$129,IF($G121=3,$B$4,IF($G121=4,$B$5,""))))</f>
        <v/>
      </c>
      <c r="I121" s="10"/>
      <c r="J121" s="6" t="str">
        <f>+IF(I121=1,$Q$128,IF($I121=2,$Q$129,IF($G121=3,$B$4,IF($G121=4,$B$5,""))))</f>
        <v/>
      </c>
      <c r="K121" s="10"/>
      <c r="L121" s="5" t="str">
        <f>+IF(K121=1,$D$2,IF($K121=2,$D$3,IF($K121=3,$D$4,IF($K121=4,$D$5,""))))</f>
        <v/>
      </c>
      <c r="M121" s="10"/>
      <c r="N121" s="5" t="str">
        <f>+IF(M121=1,$D$2,IF($M121=2,$D$3,IF($M121=3,$D$4,IF($M121=4,$D$5,""))))</f>
        <v/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6:23">
      <c r="F122" s="11" t="s">
        <v>13</v>
      </c>
      <c r="G122" s="10"/>
      <c r="H122" s="5"/>
      <c r="I122" s="10"/>
      <c r="J122" s="5"/>
      <c r="K122" s="10"/>
      <c r="L122" s="5"/>
      <c r="M122" s="10"/>
      <c r="N122" s="5"/>
      <c r="O122" s="1"/>
      <c r="P122" s="1"/>
      <c r="Q122" s="1"/>
      <c r="R122" s="1"/>
      <c r="S122" s="1"/>
      <c r="T122" s="1"/>
      <c r="U122" s="1"/>
      <c r="V122" s="1"/>
      <c r="W122" s="1"/>
    </row>
    <row r="123" spans="6:23">
      <c r="F123" s="11" t="s">
        <v>14</v>
      </c>
      <c r="G123" s="10"/>
      <c r="H123" s="5"/>
      <c r="I123" s="10"/>
      <c r="J123" s="5"/>
      <c r="K123" s="10"/>
      <c r="L123" s="5"/>
      <c r="M123" s="10"/>
      <c r="N123" s="5"/>
      <c r="O123" s="1"/>
      <c r="P123" s="1"/>
      <c r="Q123" s="1"/>
      <c r="R123" s="1"/>
      <c r="S123" s="1"/>
      <c r="T123" s="1"/>
      <c r="U123" s="1"/>
      <c r="V123" s="1"/>
      <c r="W123" s="1"/>
    </row>
    <row r="124" spans="6:23">
      <c r="F124" s="11" t="s">
        <v>16</v>
      </c>
      <c r="G124" s="10"/>
      <c r="H124" s="5"/>
      <c r="I124" s="10"/>
      <c r="J124" s="5"/>
      <c r="K124" s="10"/>
      <c r="L124" s="5"/>
      <c r="M124" s="10"/>
      <c r="N124" s="5"/>
      <c r="O124" s="1"/>
      <c r="P124" s="1"/>
      <c r="Q124" s="1"/>
      <c r="R124" s="1"/>
      <c r="S124" s="1"/>
      <c r="T124" s="1"/>
      <c r="U124" s="1"/>
      <c r="V124" s="1"/>
      <c r="W124" s="1"/>
    </row>
    <row r="125" spans="6:23" ht="15.75" customHeight="1">
      <c r="F125" s="12" t="s">
        <v>17</v>
      </c>
      <c r="G125" s="113">
        <f>+SUM(H120:H121)</f>
        <v>0</v>
      </c>
      <c r="H125" s="114">
        <f>+SUM(H120:H124)</f>
        <v>0</v>
      </c>
      <c r="I125" s="113">
        <f>+SUM(J120:J121)</f>
        <v>0</v>
      </c>
      <c r="J125" s="114">
        <f>+SUM(J120:J124)</f>
        <v>0</v>
      </c>
      <c r="K125" s="113"/>
      <c r="L125" s="114">
        <f>+SUM(L120:L124)</f>
        <v>0</v>
      </c>
      <c r="M125" s="113"/>
      <c r="N125" s="114">
        <f>+SUM(N120:N124)</f>
        <v>0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6:23"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6:23">
      <c r="F127" s="7" t="s">
        <v>19</v>
      </c>
      <c r="G127" s="111"/>
      <c r="H127" s="112"/>
      <c r="I127" s="111"/>
      <c r="J127" s="112"/>
      <c r="K127" s="111">
        <f>L125</f>
        <v>0</v>
      </c>
      <c r="L127" s="112"/>
      <c r="M127" s="111">
        <f>N125</f>
        <v>0</v>
      </c>
      <c r="N127" s="112"/>
      <c r="O127" s="1"/>
      <c r="P127" s="1" t="s">
        <v>9</v>
      </c>
      <c r="Q127" s="1" t="s">
        <v>11</v>
      </c>
      <c r="R127" s="1"/>
      <c r="S127" s="1"/>
      <c r="T127" s="1" t="s">
        <v>37</v>
      </c>
      <c r="U127" s="1"/>
      <c r="V127" s="1"/>
      <c r="W127" s="1"/>
    </row>
    <row r="128" spans="6:23">
      <c r="F128" s="7" t="s">
        <v>12</v>
      </c>
      <c r="G128" s="108" t="str">
        <f>+IF($G120=1,40,IF($G120=2,20,IF($G120=3,10,IF($G120=4,0,""))))</f>
        <v/>
      </c>
      <c r="H128" s="109"/>
      <c r="I128" s="118" t="str">
        <f>+IF($I120=1,40,IF($I120=2,20,IF($I120=3,10,IF($I120=4,0,""))))</f>
        <v/>
      </c>
      <c r="J128" s="119"/>
      <c r="K128" s="111"/>
      <c r="L128" s="112"/>
      <c r="M128" s="111"/>
      <c r="N128" s="112"/>
      <c r="O128" s="1"/>
      <c r="P128" s="1">
        <v>37.5</v>
      </c>
      <c r="Q128" s="1">
        <v>27</v>
      </c>
      <c r="R128" s="1"/>
      <c r="S128" s="1"/>
      <c r="T128" s="1">
        <v>28.13</v>
      </c>
      <c r="U128" s="1"/>
      <c r="V128" s="1"/>
      <c r="W128" s="1">
        <f>+SUM(P128-T128)</f>
        <v>9.370000000000001</v>
      </c>
    </row>
    <row r="129" spans="6:23">
      <c r="F129" s="15" t="s">
        <v>20</v>
      </c>
      <c r="G129" s="108">
        <f>G116</f>
        <v>100</v>
      </c>
      <c r="H129" s="109"/>
      <c r="I129" s="108">
        <f t="shared" ref="I129:N129" si="19">I116</f>
        <v>70</v>
      </c>
      <c r="J129" s="109"/>
      <c r="K129" s="108">
        <f t="shared" ref="K129:N129" si="20">K116</f>
        <v>20</v>
      </c>
      <c r="L129" s="109"/>
      <c r="M129" s="108">
        <f t="shared" ref="M129:N129" si="21">M116</f>
        <v>20</v>
      </c>
      <c r="N129" s="109"/>
      <c r="O129" s="1"/>
      <c r="P129" s="1">
        <v>28.125</v>
      </c>
      <c r="Q129" s="1">
        <v>20.25</v>
      </c>
      <c r="R129" s="1"/>
      <c r="S129" s="1"/>
      <c r="T129" s="1">
        <v>20.25</v>
      </c>
      <c r="U129" s="1"/>
      <c r="V129" s="1"/>
      <c r="W129" s="101">
        <f>+SUM(P129-T129)</f>
        <v>7.875</v>
      </c>
    </row>
  </sheetData>
  <mergeCells count="176"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G77:H77"/>
    <mergeCell ref="I77:J77"/>
    <mergeCell ref="K77:L77"/>
    <mergeCell ref="M77:N77"/>
    <mergeCell ref="R2:Z2"/>
    <mergeCell ref="R6:Z6"/>
    <mergeCell ref="R9:Z9"/>
    <mergeCell ref="R12:Z12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zoomScaleNormal="100" workbookViewId="0">
      <selection activeCell="B2" sqref="B2"/>
    </sheetView>
  </sheetViews>
  <sheetFormatPr defaultColWidth="9.140625" defaultRowHeight="15"/>
  <cols>
    <col min="1" max="5" width="11.42578125" customWidth="1"/>
    <col min="6" max="12" width="11.42578125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38</v>
      </c>
      <c r="B1" s="22" t="s">
        <v>39</v>
      </c>
      <c r="C1" s="23" t="s">
        <v>40</v>
      </c>
      <c r="D1" s="1"/>
      <c r="E1" s="1"/>
      <c r="F1" s="1"/>
      <c r="G1" s="29"/>
      <c r="H1" s="34"/>
      <c r="I1" s="35" t="s">
        <v>38</v>
      </c>
      <c r="J1" s="35" t="s">
        <v>39</v>
      </c>
      <c r="K1" s="36" t="s">
        <v>40</v>
      </c>
      <c r="L1" s="29"/>
      <c r="M1" s="50" t="s">
        <v>41</v>
      </c>
      <c r="N1" s="51" t="s">
        <v>42</v>
      </c>
      <c r="O1" s="52" t="s">
        <v>43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+SUM(Hoja1!$G8,Hoja1!$G21,Hoja1!$G34,Hoja1!$G47,Hoja1!$G60,Hoja1!G73,Hoja1!G86,Hoja1!G99,Hoja1!G112)</f>
        <v>314.5</v>
      </c>
      <c r="C2" s="25">
        <f>INDEX(Hoja1!$G$1:$G$250, (COUNTIF(DATOS!$J$4:$S$4, "&gt;0")-1)*13 + 12)</f>
        <v>100</v>
      </c>
      <c r="D2" s="1">
        <f>_xlfn.RANK.EQ(B2, $B$2:$B$5) + COUNTIF($B$2:B2, B2) - 1</f>
        <v>1</v>
      </c>
      <c r="E2" s="1">
        <f>+AVERAGEIF(DATOS!C$3:C$22, "&gt;0")</f>
        <v>1.8823529411764706</v>
      </c>
      <c r="F2" s="1"/>
      <c r="G2" s="29"/>
      <c r="H2" s="30">
        <v>1</v>
      </c>
      <c r="I2" s="31" t="str">
        <f>INDEX($A$2:$A$5, MATCH(H2, $D$2:$D$5, 0))</f>
        <v>Agus</v>
      </c>
      <c r="J2" s="31">
        <f>INDEX($B$2:$B$5, MATCH(H2, $D$2:$D$5, 0))</f>
        <v>314.5</v>
      </c>
      <c r="K2" s="43">
        <f>INDEX($C$2:$C$5, MATCH(H2, $D$2:$D$5, 0))</f>
        <v>100</v>
      </c>
      <c r="L2" s="29"/>
      <c r="M2" s="47">
        <f>INDEX($E$2:$E$5, MATCH(I2, $A$2:$A$5, 0))</f>
        <v>1.8823529411764706</v>
      </c>
      <c r="N2" s="48">
        <f>J2 / (COUNTIFS(DATOS!D3:D22, "&gt;0",DATOS!$B$3:$B$22, "CARRERA 1") * 46.75)</f>
        <v>0.74747474747474751</v>
      </c>
      <c r="O2" s="49">
        <f>SUM(DATOS!D27:D46)</f>
        <v>2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+SUM(Hoja1!$I8,Hoja1!$I21,Hoja1!$I34,Hoja1!$I47,Hoja1!$I60,Hoja1!I73,Hoja1!I86,Hoja1!I99,Hoja1!I112)</f>
        <v>302.25</v>
      </c>
      <c r="C3" s="25">
        <f>INDEX(Hoja1!$I$1:$I$250, (COUNTIF(DATOS!$J$5:$S$5, "&gt;0")-1)*13 + 12)</f>
        <v>70</v>
      </c>
      <c r="D3" s="1">
        <f>_xlfn.RANK.EQ(B3, $B$2:$B$5) + COUNTIF($B$2:B3, B3) - 1</f>
        <v>2</v>
      </c>
      <c r="E3" s="1">
        <f>+AVERAGEIF(DATOS!D$3:D$22, "&gt;0")</f>
        <v>1.9411764705882353</v>
      </c>
      <c r="F3" s="1"/>
      <c r="G3" s="29"/>
      <c r="H3" s="30">
        <v>2</v>
      </c>
      <c r="I3" s="31" t="str">
        <f t="shared" ref="I3:I5" si="0">INDEX($A$2:$A$5, MATCH(H3, $D$2:$D$5, 0))</f>
        <v>Pablo</v>
      </c>
      <c r="J3" s="31">
        <f t="shared" ref="J3:J5" si="1">INDEX($B$2:$B$5, MATCH(H3, $D$2:$D$5, 0))</f>
        <v>302.25</v>
      </c>
      <c r="K3" s="43">
        <f t="shared" ref="K3:K5" si="2">INDEX($C$2:$C$5, MATCH(H3, $D$2:$D$5, 0))</f>
        <v>70</v>
      </c>
      <c r="L3" s="29"/>
      <c r="M3" s="45">
        <f>INDEX($E$2:$E$5, MATCH(I3, $A$2:$A$5, 0))</f>
        <v>1.9411764705882353</v>
      </c>
      <c r="N3" s="39">
        <f>J3 / (COUNTIFS(DATOS!D3:D22, "&gt;0",DATOS!$B$3:$B$22, "CARRERA 1") * 46.75)</f>
        <v>0.71836007130124779</v>
      </c>
      <c r="O3" s="41">
        <f>+SUM(DATOS!C27:C46)</f>
        <v>7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+SUM(Hoja1!K8,Hoja1!K21,Hoja1!K34,Hoja1!K47,Hoja1!K60,Hoja1!K73,Hoja1!K86,Hoja1!K99,,Hoja1!K112)</f>
        <v>208.75</v>
      </c>
      <c r="C4" s="25">
        <f>INDEX(Hoja1!$K$1:$K$250, (COUNTIF(DATOS!$J$6:$S$6, "&gt;0")-1)*13 + 12)</f>
        <v>20</v>
      </c>
      <c r="D4" s="1">
        <f>_xlfn.RANK.EQ(B4, $B$2:$B$5) + COUNTIF($B$2:B4, B4) - 1</f>
        <v>4</v>
      </c>
      <c r="E4" s="1">
        <f>+AVERAGEIF(DATOS!E$3:E$22, "&gt;0")</f>
        <v>3.4705882352941178</v>
      </c>
      <c r="F4" s="1"/>
      <c r="G4" s="29"/>
      <c r="H4" s="30">
        <v>3</v>
      </c>
      <c r="I4" s="31" t="str">
        <f t="shared" si="0"/>
        <v>Eze</v>
      </c>
      <c r="J4" s="31">
        <f t="shared" si="1"/>
        <v>250.5</v>
      </c>
      <c r="K4" s="43">
        <f t="shared" si="2"/>
        <v>20</v>
      </c>
      <c r="L4" s="1"/>
      <c r="M4" s="45">
        <f>INDEX($E$2:$E$5, MATCH(I4, $A$2:$A$5, 0))</f>
        <v>2.7058823529411766</v>
      </c>
      <c r="N4" s="39">
        <f>J4 / (COUNTIFS(DATOS!E3:E22, "&gt;0",DATOS!$B$3:$B$22, "CARRERA 1") * 46.75)</f>
        <v>0.59536541889483063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+SUM(Hoja1!M8,Hoja1!M21,Hoja1!M34,Hoja1!M47,Hoja1!M60,Hoja1!M73,Hoja1!M86,Hoja1!M99,,Hoja1!M112)</f>
        <v>250.5</v>
      </c>
      <c r="C5" s="26">
        <f>INDEX(Hoja1!$M$1:$M$250, (COUNTIF(DATOS!$J$7:$S$7, "&gt;0")-1)*13 + 12)</f>
        <v>20</v>
      </c>
      <c r="D5" s="1">
        <f>_xlfn.RANK.EQ(B5, $B$2:$B$5) + COUNTIF($B$2:B5, B5) - 1</f>
        <v>3</v>
      </c>
      <c r="E5" s="1">
        <f>+AVERAGEIF(DATOS!F$3:F$22, "&gt;0")</f>
        <v>2.7058823529411766</v>
      </c>
      <c r="F5" s="1"/>
      <c r="G5" s="29"/>
      <c r="H5" s="32">
        <v>4</v>
      </c>
      <c r="I5" s="33" t="str">
        <f t="shared" si="0"/>
        <v>Juandi</v>
      </c>
      <c r="J5" s="33">
        <f t="shared" si="1"/>
        <v>208.75</v>
      </c>
      <c r="K5" s="44">
        <f t="shared" si="2"/>
        <v>20</v>
      </c>
      <c r="L5" s="29"/>
      <c r="M5" s="46">
        <f>INDEX($E$2:$E$5, MATCH(I5, $A$2:$A$5, 0))</f>
        <v>3.4705882352941178</v>
      </c>
      <c r="N5" s="40">
        <f>J5 / (COUNTIFS(DATOS!F3:F22, "&gt;0",DATOS!$B$3:$B$22, "CARRERA 1") * 46.75)</f>
        <v>0.49613784907902553</v>
      </c>
      <c r="O5" s="42">
        <f>+SUM(DATOS!F27:F46)</f>
        <v>0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"/>
      <c r="B6" s="1"/>
      <c r="C6" s="1"/>
      <c r="D6" s="1"/>
      <c r="E6" s="1"/>
      <c r="F6" s="1"/>
      <c r="G6" s="29"/>
      <c r="H6" s="29"/>
      <c r="I6" s="29"/>
      <c r="J6" s="29"/>
      <c r="K6" s="29"/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"/>
      <c r="B7" s="1"/>
      <c r="C7" s="1"/>
      <c r="D7" s="1"/>
      <c r="E7" s="1"/>
      <c r="F7" s="1"/>
      <c r="G7" s="29"/>
      <c r="H7" s="29"/>
      <c r="I7" s="29"/>
      <c r="J7" s="29"/>
      <c r="K7" s="29"/>
      <c r="L7" s="29"/>
      <c r="M7" s="29"/>
      <c r="N7" s="29" t="s">
        <v>44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"/>
      <c r="B8" s="1"/>
      <c r="C8" s="1"/>
      <c r="D8" s="1"/>
      <c r="E8" s="1"/>
      <c r="F8" s="1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"/>
      <c r="B9" s="1"/>
      <c r="C9" s="1"/>
      <c r="D9" s="1"/>
      <c r="E9" s="1"/>
      <c r="F9" s="1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"/>
      <c r="B10" s="1"/>
      <c r="C10" s="1"/>
      <c r="D10" s="1"/>
      <c r="E10" s="1"/>
      <c r="F10" s="1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"/>
      <c r="B11" s="1"/>
      <c r="C11" s="1"/>
      <c r="D11" s="1"/>
      <c r="E11" s="1"/>
      <c r="F11" s="1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"/>
      <c r="B12" s="1"/>
      <c r="C12" s="1"/>
      <c r="D12" s="1"/>
      <c r="E12" s="1"/>
      <c r="F12" s="1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"/>
      <c r="B13" s="1"/>
      <c r="C13" s="1"/>
      <c r="D13" s="1"/>
      <c r="E13" s="1"/>
      <c r="F13" s="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"/>
      <c r="B14" s="1"/>
      <c r="C14" s="1"/>
      <c r="D14" s="1"/>
      <c r="E14" s="1"/>
      <c r="F14" s="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"/>
      <c r="B15" s="1"/>
      <c r="C15" s="1"/>
      <c r="D15" s="1"/>
      <c r="E15" s="1"/>
      <c r="F15" s="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topLeftCell="A15" zoomScaleNormal="100" workbookViewId="0">
      <selection activeCell="E20" sqref="E20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20" t="s">
        <v>45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</row>
    <row r="2" spans="1:19">
      <c r="A2" s="116" t="s">
        <v>46</v>
      </c>
      <c r="B2" s="116"/>
      <c r="C2" s="1" t="s">
        <v>47</v>
      </c>
      <c r="D2" s="1" t="s">
        <v>48</v>
      </c>
      <c r="E2" s="1" t="s">
        <v>49</v>
      </c>
      <c r="F2" s="1" t="s">
        <v>50</v>
      </c>
      <c r="G2" s="1"/>
      <c r="H2" s="1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</row>
    <row r="3" spans="1:19">
      <c r="A3" s="107" t="s">
        <v>2</v>
      </c>
      <c r="B3" s="1" t="s">
        <v>51</v>
      </c>
      <c r="C3" s="1">
        <f>Hoja1!G3</f>
        <v>1</v>
      </c>
      <c r="D3" s="1">
        <f>Hoja1!$I3</f>
        <v>2</v>
      </c>
      <c r="E3" s="1">
        <f>Hoja1!K3</f>
        <v>4</v>
      </c>
      <c r="F3" s="1">
        <f>Hoja1!M3</f>
        <v>3</v>
      </c>
      <c r="G3" s="1"/>
      <c r="H3" s="1"/>
      <c r="I3" s="1"/>
      <c r="J3" s="1" t="s">
        <v>52</v>
      </c>
      <c r="K3" s="1" t="s">
        <v>53</v>
      </c>
      <c r="L3" s="1" t="s">
        <v>54</v>
      </c>
      <c r="M3" s="1" t="s">
        <v>55</v>
      </c>
      <c r="N3" s="1" t="s">
        <v>56</v>
      </c>
      <c r="O3" s="1" t="s">
        <v>57</v>
      </c>
      <c r="P3" s="1" t="s">
        <v>58</v>
      </c>
      <c r="Q3" s="1" t="s">
        <v>59</v>
      </c>
      <c r="R3" s="1" t="s">
        <v>60</v>
      </c>
      <c r="S3" s="1" t="s">
        <v>61</v>
      </c>
    </row>
    <row r="4" spans="1:19">
      <c r="A4" s="107"/>
      <c r="B4" s="1" t="s">
        <v>62</v>
      </c>
      <c r="C4" s="1">
        <f>Hoja1!G4</f>
        <v>3</v>
      </c>
      <c r="D4" s="1">
        <f>Hoja1!$I4</f>
        <v>1</v>
      </c>
      <c r="E4" s="1">
        <f>Hoja1!K4</f>
        <v>4</v>
      </c>
      <c r="F4" s="1">
        <f>Hoja1!M4</f>
        <v>2</v>
      </c>
      <c r="G4" s="1"/>
      <c r="H4" s="1"/>
      <c r="I4" s="1" t="s">
        <v>47</v>
      </c>
      <c r="J4" s="1">
        <f>IF(INDEX(Hoja1!$G$1:$G$250, (COLUMN(A1)-1)*13 + 10)=0, NA(), INDEX(Hoja1!$G$1:$G$250, (COLUMN(A1)-1)*13 + 10))</f>
        <v>39.25</v>
      </c>
      <c r="K4" s="1">
        <f>IF(INDEX(Hoja1!$G$1:$G$250, (COLUMN(B1)-1)*13 + 10)=0, NA(), INDEX(Hoja1!$G$1:$G$250, (COLUMN(B1)-1)*13 + 10))</f>
        <v>64.75</v>
      </c>
      <c r="L4" s="1">
        <f>IF(INDEX(Hoja1!$G$1:$G$250, (COLUMN(C1)-1)*13 + 10)=0, NA(), INDEX(Hoja1!$G$1:$G$250, (COLUMN(C1)-1)*13 + 10))</f>
        <v>96.25</v>
      </c>
      <c r="M4" s="1">
        <f>IF(INDEX(Hoja1!$G$1:$G$250, (COLUMN(D1)-1)*13 + 10)=0, NA(), INDEX(Hoja1!$G$1:$G$250, (COLUMN(D1)-1)*13 + 10))</f>
        <v>142</v>
      </c>
      <c r="N4" s="1">
        <f>IF(INDEX(Hoja1!$G$1:$G$250, (COLUMN(E1)-1)*13 + 10)=0, NA(), INDEX(Hoja1!$G$1:$G$250, (COLUMN(E1)-1)*13 + 10))</f>
        <v>172.5</v>
      </c>
      <c r="O4" s="1">
        <f>IF(INDEX(Hoja1!$G$1:$G$250, (COLUMN(F1)-1)*13 + 10)=0, NA(), INDEX(Hoja1!$G$1:$G$250, (COLUMN(F1)-1)*13 + 10))</f>
        <v>207.25</v>
      </c>
      <c r="P4" s="1">
        <f>IF(INDEX(Hoja1!$G$1:$G$250, (COLUMN(G1)-1)*13 + 10)=0, NA(), INDEX(Hoja1!$G$1:$G$250, (COLUMN(G1)-1)*13 + 10))</f>
        <v>247.75</v>
      </c>
      <c r="Q4" s="1">
        <f>IF(INDEX(Hoja1!$G$1:$G$250, (COLUMN(H1)-1)*13 + 10)=0, NA(), INDEX(Hoja1!$G$1:$G$250, (COLUMN(H1)-1)*13 + 10))</f>
        <v>287.5</v>
      </c>
      <c r="R4" s="1">
        <f>IF(INDEX(Hoja1!$G$1:$G$250, (COLUMN(I1)-1)*13 + 10)=0, NA(), INDEX(Hoja1!$G$1:$G$250, (COLUMN(I1)-1)*13 + 10))</f>
        <v>314.5</v>
      </c>
      <c r="S4" s="1" t="e">
        <f>IF(INDEX(Hoja1!$G$1:$G$250, (COLUMN(J1)-1)*13 + 10)=0, NA(), INDEX(Hoja1!$G$1:$G$250, (COLUMN(J1)-1)*13 + 10))</f>
        <v>#N/A</v>
      </c>
    </row>
    <row r="5" spans="1:19">
      <c r="A5" s="107" t="s">
        <v>15</v>
      </c>
      <c r="B5" s="1" t="s">
        <v>51</v>
      </c>
      <c r="C5" s="1">
        <f>Hoja1!G16</f>
        <v>4</v>
      </c>
      <c r="D5" s="1">
        <f>Hoja1!I16</f>
        <v>3</v>
      </c>
      <c r="E5" s="1">
        <f>Hoja1!K16</f>
        <v>1</v>
      </c>
      <c r="F5" s="1">
        <f>Hoja1!M16</f>
        <v>2</v>
      </c>
      <c r="G5" s="1"/>
      <c r="H5" s="1"/>
      <c r="I5" s="1" t="s">
        <v>48</v>
      </c>
      <c r="J5" s="1">
        <f>IF(INDEX(Hoja1!$I$1:$I$250, (COLUMN(A1)-1)*13 + 10)=0, NA(), INDEX(Hoja1!$I$1:$I$250, (COLUMN(A1)-1)*13 + 10))</f>
        <v>36.75</v>
      </c>
      <c r="K5" s="1">
        <f>IF(INDEX(Hoja1!$I$1:$I$250, (COLUMN(B1)-1)*13 + 10)=0, NA(), INDEX(Hoja1!$I$1:$I$250, (COLUMN(B1)-1)*13 + 10))</f>
        <v>73.5</v>
      </c>
      <c r="L5" s="1">
        <f>IF(INDEX(Hoja1!$I$1:$I$250, (COLUMN(C1)-1)*13 + 10)=0, NA(), INDEX(Hoja1!$I$1:$I$250, (COLUMN(C1)-1)*13 + 10))</f>
        <v>120.25</v>
      </c>
      <c r="M5" s="1">
        <f>IF(INDEX(Hoja1!$I$1:$I$250, (COLUMN(D1)-1)*13 + 10)=0, NA(), INDEX(Hoja1!$I$1:$I$250, (COLUMN(D1)-1)*13 + 10))</f>
        <v>148.75</v>
      </c>
      <c r="N5" s="1">
        <f>IF(INDEX(Hoja1!$I$1:$I$250, (COLUMN(E1)-1)*13 + 10)=0, NA(), INDEX(Hoja1!$I$1:$I$250, (COLUMN(E1)-1)*13 + 10))</f>
        <v>178</v>
      </c>
      <c r="O5" s="1">
        <f>IF(INDEX(Hoja1!$I$1:$I$250, (COLUMN(F1)-1)*13 + 10)=0, NA(), INDEX(Hoja1!$I$1:$I$250, (COLUMN(F1)-1)*13 + 10))</f>
        <v>218.5</v>
      </c>
      <c r="P5" s="1">
        <f>IF(INDEX(Hoja1!$I$1:$I$250, (COLUMN(G1)-1)*13 + 10)=0, NA(), INDEX(Hoja1!$I$1:$I$250, (COLUMN(G1)-1)*13 + 10))</f>
        <v>248.75</v>
      </c>
      <c r="Q5" s="1">
        <f>IF(INDEX(Hoja1!$I$1:$I$250, (COLUMN(H1)-1)*13 + 10)=0, NA(), INDEX(Hoja1!$I$1:$I$250, (COLUMN(H1)-1)*13 + 10))</f>
        <v>287.25</v>
      </c>
      <c r="R5" s="1">
        <f>IF(INDEX(Hoja1!$I$1:$I$250, (COLUMN(I1)-1)*13 + 10)=0, NA(), INDEX(Hoja1!$I$1:$I$250, (COLUMN(I1)-1)*13 + 10))</f>
        <v>302.25</v>
      </c>
      <c r="S5" s="1" t="e">
        <f>IF(INDEX(Hoja1!$I$1:$I$250, (COLUMN(J1)-1)*13 + 10)=0, NA(), INDEX(Hoja1!$I$1:$I$250, (COLUMN(J1)-1)*13 + 10))</f>
        <v>#N/A</v>
      </c>
    </row>
    <row r="6" spans="1:19">
      <c r="A6" s="107"/>
      <c r="B6" s="1" t="s">
        <v>62</v>
      </c>
      <c r="C6" s="1">
        <f>Hoja1!G17</f>
        <v>2</v>
      </c>
      <c r="D6" s="1">
        <f>Hoja1!I17</f>
        <v>1</v>
      </c>
      <c r="E6" s="1">
        <f>Hoja1!K17</f>
        <v>3</v>
      </c>
      <c r="F6" s="1">
        <f>Hoja1!M17</f>
        <v>4</v>
      </c>
      <c r="G6" s="1"/>
      <c r="H6" s="1"/>
      <c r="I6" s="1" t="s">
        <v>49</v>
      </c>
      <c r="J6" s="1">
        <f>IF(INDEX(Hoja1!$K$1:$K$250, (COLUMN(A1)-1)*13 + 10)=0, NA(), INDEX(Hoja1!$K$1:$K$250, (COLUMN(A1)-1)*13 + 10))</f>
        <v>21</v>
      </c>
      <c r="K6" s="1">
        <f>IF(INDEX(Hoja1!$K$1:$K$250, (COLUMN(B1)-1)*13 + 10)=0, NA(), INDEX(Hoja1!$K$1:$K$250, (COLUMN(B1)-1)*13 + 10))</f>
        <v>57.25</v>
      </c>
      <c r="L6" s="1">
        <f>IF(INDEX(Hoja1!$K$1:$K$250, (COLUMN(C1)-1)*13 + 10)=0, NA(), INDEX(Hoja1!$K$1:$K$250, (COLUMN(C1)-1)*13 + 10))</f>
        <v>83.5</v>
      </c>
      <c r="M6" s="1">
        <f>IF(INDEX(Hoja1!$K$1:$K$250, (COLUMN(D1)-1)*13 + 10)=0, NA(), INDEX(Hoja1!$K$1:$K$250, (COLUMN(D1)-1)*13 + 10))</f>
        <v>106.75</v>
      </c>
      <c r="N6" s="1">
        <f>IF(INDEX(Hoja1!$K$1:$K$250, (COLUMN(E1)-1)*13 + 10)=0, NA(), INDEX(Hoja1!$K$1:$K$250, (COLUMN(E1)-1)*13 + 10))</f>
        <v>127.75</v>
      </c>
      <c r="O6" s="1">
        <f>IF(INDEX(Hoja1!$K$1:$K$250, (COLUMN(F1)-1)*13 + 10)=0, NA(), INDEX(Hoja1!$K$1:$K$250, (COLUMN(F1)-1)*13 + 10))</f>
        <v>148.75</v>
      </c>
      <c r="P6" s="1">
        <f>IF(INDEX(Hoja1!$K$1:$K$250, (COLUMN(G1)-1)*13 + 10)=0, NA(), INDEX(Hoja1!$K$1:$K$250, (COLUMN(G1)-1)*13 + 10))</f>
        <v>172.75</v>
      </c>
      <c r="Q6" s="1">
        <f>IF(INDEX(Hoja1!$K$1:$K$250, (COLUMN(H1)-1)*13 + 10)=0, NA(), INDEX(Hoja1!$K$1:$K$250, (COLUMN(H1)-1)*13 + 10))</f>
        <v>196.75</v>
      </c>
      <c r="R6" s="1">
        <f>IF(INDEX(Hoja1!$K$1:$K$250, (COLUMN(I1)-1)*13 + 10)=0, NA(), INDEX(Hoja1!$K$1:$K$250, (COLUMN(I1)-1)*13 + 10))</f>
        <v>208.75</v>
      </c>
      <c r="S6" s="1" t="e">
        <f>IF(INDEX(Hoja1!$K$1:$K$250, (COLUMN(J1)-1)*13 + 10)=0, NA(), INDEX(Hoja1!$K$1:$K$250, (COLUMN(J1)-1)*13 + 10))</f>
        <v>#N/A</v>
      </c>
    </row>
    <row r="7" spans="1:19">
      <c r="A7" s="107" t="s">
        <v>18</v>
      </c>
      <c r="B7" s="1" t="s">
        <v>51</v>
      </c>
      <c r="C7" s="1">
        <f>Hoja1!G29</f>
        <v>2</v>
      </c>
      <c r="D7" s="1">
        <f>Hoja1!I29</f>
        <v>1</v>
      </c>
      <c r="E7" s="1">
        <f>Hoja1!K29</f>
        <v>3</v>
      </c>
      <c r="F7" s="1">
        <f>Hoja1!M29</f>
        <v>4</v>
      </c>
      <c r="G7" s="1"/>
      <c r="H7" s="1"/>
      <c r="I7" s="1" t="s">
        <v>50</v>
      </c>
      <c r="J7" s="1">
        <f>IF(INDEX(Hoja1!$M$1:$M$250, (COLUMN(A1)-1)*13 + 10)=0, NA(), INDEX(Hoja1!$M$1:$M$250, (COLUMN(A1)-1)*13 + 10))</f>
        <v>28.5</v>
      </c>
      <c r="K7" s="1">
        <f>IF(INDEX(Hoja1!$M$1:$M$250, (COLUMN(B1)-1)*13 + 10)=0, NA(), INDEX(Hoja1!$M$1:$M$250, (COLUMN(B1)-1)*13 + 10))</f>
        <v>55.5</v>
      </c>
      <c r="L7" s="1">
        <f>IF(INDEX(Hoja1!$M$1:$M$250, (COLUMN(C1)-1)*13 + 10)=0, NA(), INDEX(Hoja1!$M$1:$M$250, (COLUMN(C1)-1)*13 + 10))</f>
        <v>76.5</v>
      </c>
      <c r="M7" s="1">
        <f>IF(INDEX(Hoja1!$M$1:$M$250, (COLUMN(D1)-1)*13 + 10)=0, NA(), INDEX(Hoja1!$M$1:$M$250, (COLUMN(D1)-1)*13 + 10))</f>
        <v>104.5</v>
      </c>
      <c r="N7" s="1">
        <f>IF(INDEX(Hoja1!$M$1:$M$250, (COLUMN(E1)-1)*13 + 10)=0, NA(), INDEX(Hoja1!$M$1:$M$250, (COLUMN(E1)-1)*13 + 10))</f>
        <v>149.25</v>
      </c>
      <c r="O7" s="1">
        <f>IF(INDEX(Hoja1!$M$1:$M$250, (COLUMN(F1)-1)*13 + 10)=0, NA(), INDEX(Hoja1!$M$1:$M$250, (COLUMN(F1)-1)*13 + 10))</f>
        <v>178.5</v>
      </c>
      <c r="P7" s="1">
        <f>IF(INDEX(Hoja1!$M$1:$M$250, (COLUMN(G1)-1)*13 + 10)=0, NA(), INDEX(Hoja1!$M$1:$M$250, (COLUMN(G1)-1)*13 + 10))</f>
        <v>209.25</v>
      </c>
      <c r="Q7" s="1">
        <f>IF(INDEX(Hoja1!$M$1:$M$250, (COLUMN(H1)-1)*13 + 10)=0, NA(), INDEX(Hoja1!$M$1:$M$250, (COLUMN(H1)-1)*13 + 10))</f>
        <v>232.5</v>
      </c>
      <c r="R7" s="1">
        <f>IF(INDEX(Hoja1!$M$1:$M$250, (COLUMN(I1)-1)*13 + 10)=0, NA(), INDEX(Hoja1!$M$1:$M$250, (COLUMN(I1)-1)*13 + 10))</f>
        <v>250.5</v>
      </c>
      <c r="S7" s="1" t="e">
        <f>IF(INDEX(Hoja1!$M$1:$M$250, (COLUMN(J1)-1)*13 + 10)=0, NA(), INDEX(Hoja1!$M$1:$M$250, (COLUMN(J1)-1)*13 + 10))</f>
        <v>#N/A</v>
      </c>
    </row>
    <row r="8" spans="1:19">
      <c r="A8" s="107"/>
      <c r="B8" s="1" t="s">
        <v>62</v>
      </c>
      <c r="C8" s="1">
        <f>Hoja1!G30</f>
        <v>2</v>
      </c>
      <c r="D8" s="1">
        <f>Hoja1!I30</f>
        <v>1</v>
      </c>
      <c r="E8" s="1">
        <f>Hoja1!K30</f>
        <v>3</v>
      </c>
      <c r="F8" s="1">
        <f>Hoja1!M30</f>
        <v>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07" t="s">
        <v>21</v>
      </c>
      <c r="B9" s="1" t="s">
        <v>51</v>
      </c>
      <c r="C9" s="1">
        <f>Hoja1!G42</f>
        <v>1</v>
      </c>
      <c r="D9" s="1">
        <f>Hoja1!I42</f>
        <v>3</v>
      </c>
      <c r="E9" s="1">
        <f>Hoja1!K42</f>
        <v>4</v>
      </c>
      <c r="F9" s="1">
        <f>Hoja1!M42</f>
        <v>2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07"/>
      <c r="B10" s="1" t="s">
        <v>62</v>
      </c>
      <c r="C10" s="1">
        <f>Hoja1!G43</f>
        <v>1</v>
      </c>
      <c r="D10" s="1">
        <f>Hoja1!I43</f>
        <v>2</v>
      </c>
      <c r="E10" s="1">
        <f>Hoja1!K43</f>
        <v>3</v>
      </c>
      <c r="F10" s="1">
        <f>Hoja1!M43</f>
        <v>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07" t="s">
        <v>63</v>
      </c>
      <c r="B11" s="1" t="s">
        <v>51</v>
      </c>
      <c r="C11" s="1">
        <f>Hoja1!G55</f>
        <v>3</v>
      </c>
      <c r="D11" s="1">
        <f>Hoja1!I55</f>
        <v>2</v>
      </c>
      <c r="E11" s="1">
        <f>Hoja1!K55</f>
        <v>4</v>
      </c>
      <c r="F11" s="1">
        <f>Hoja1!M55</f>
        <v>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07"/>
      <c r="B12" s="1" t="s">
        <v>62</v>
      </c>
      <c r="C12" s="1">
        <f>Hoja1!G56</f>
        <v>2</v>
      </c>
      <c r="D12" s="1">
        <f>Hoja1!I56</f>
        <v>3</v>
      </c>
      <c r="E12" s="1">
        <f>Hoja1!K56</f>
        <v>4</v>
      </c>
      <c r="F12" s="1">
        <f>Hoja1!M56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07" t="s">
        <v>64</v>
      </c>
      <c r="B13" s="1" t="s">
        <v>51</v>
      </c>
      <c r="C13" s="1">
        <f>Hoja1!G68</f>
        <v>3</v>
      </c>
      <c r="D13" s="1">
        <f>Hoja1!I68</f>
        <v>1</v>
      </c>
      <c r="E13" s="1">
        <f>Hoja1!K68</f>
        <v>4</v>
      </c>
      <c r="F13" s="1">
        <f>Hoja1!M68</f>
        <v>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07"/>
      <c r="B14" s="1" t="s">
        <v>62</v>
      </c>
      <c r="C14" s="1">
        <f>Hoja1!G69</f>
        <v>1</v>
      </c>
      <c r="D14" s="1">
        <f>Hoja1!I69</f>
        <v>2</v>
      </c>
      <c r="E14" s="1">
        <f>Hoja1!K69</f>
        <v>4</v>
      </c>
      <c r="F14" s="1">
        <f>Hoja1!M69</f>
        <v>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07" t="s">
        <v>65</v>
      </c>
      <c r="B15" s="1" t="s">
        <v>51</v>
      </c>
      <c r="C15" s="1">
        <f>Hoja1!G81</f>
        <v>1</v>
      </c>
      <c r="D15" s="1">
        <f>Hoja1!I81</f>
        <v>2</v>
      </c>
      <c r="E15" s="1">
        <f>Hoja1!K81</f>
        <v>3</v>
      </c>
      <c r="F15" s="1">
        <f>Hoja1!M81</f>
        <v>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07"/>
      <c r="B16" s="1" t="s">
        <v>62</v>
      </c>
      <c r="C16" s="1">
        <f>Hoja1!G82</f>
        <v>2</v>
      </c>
      <c r="D16" s="1">
        <f>Hoja1!I82</f>
        <v>3</v>
      </c>
      <c r="E16" s="1">
        <f>Hoja1!K82</f>
        <v>4</v>
      </c>
      <c r="F16" s="1">
        <f>Hoja1!M82</f>
        <v>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07" t="s">
        <v>66</v>
      </c>
      <c r="B17" s="1" t="s">
        <v>51</v>
      </c>
      <c r="C17" s="1">
        <f>Hoja1!G94</f>
        <v>2</v>
      </c>
      <c r="D17" s="1">
        <f>Hoja1!I94</f>
        <v>1</v>
      </c>
      <c r="E17" s="1">
        <f>Hoja1!K94</f>
        <v>3</v>
      </c>
      <c r="F17" s="1">
        <f>Hoja1!M94</f>
        <v>4</v>
      </c>
      <c r="G17" s="1"/>
    </row>
    <row r="18" spans="1:7">
      <c r="A18" s="107"/>
      <c r="B18" s="1" t="s">
        <v>62</v>
      </c>
      <c r="C18" s="1">
        <f>Hoja1!G95</f>
        <v>1</v>
      </c>
      <c r="D18" s="1">
        <f>Hoja1!I95</f>
        <v>2</v>
      </c>
      <c r="E18" s="1">
        <f>Hoja1!K95</f>
        <v>4</v>
      </c>
      <c r="F18" s="1">
        <f>Hoja1!M95</f>
        <v>3</v>
      </c>
      <c r="G18" s="1"/>
    </row>
    <row r="19" spans="1:7">
      <c r="A19" s="107" t="s">
        <v>67</v>
      </c>
      <c r="B19" s="1" t="s">
        <v>51</v>
      </c>
      <c r="C19" s="1">
        <f>Hoja1!G107</f>
        <v>1</v>
      </c>
      <c r="D19" s="1">
        <f>Hoja1!I107</f>
        <v>3</v>
      </c>
      <c r="E19" s="1">
        <f>Hoja1!K107</f>
        <v>4</v>
      </c>
      <c r="F19" s="1">
        <f>Hoja1!M107</f>
        <v>2</v>
      </c>
      <c r="G19" s="1"/>
    </row>
    <row r="20" spans="1:7">
      <c r="A20" s="107"/>
      <c r="B20" s="1" t="s">
        <v>62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07"/>
      <c r="B21" s="1" t="s">
        <v>51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07"/>
      <c r="B22" s="1" t="s">
        <v>62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68</v>
      </c>
      <c r="B24" s="1"/>
      <c r="C24" s="1">
        <f>+COUNTIF(C3:C22,1)</f>
        <v>7</v>
      </c>
      <c r="D24" s="1">
        <f t="shared" ref="D24:F24" si="0">+COUNTIF(D3:D22,1)</f>
        <v>6</v>
      </c>
      <c r="E24" s="1">
        <f t="shared" si="0"/>
        <v>1</v>
      </c>
      <c r="F24" s="1">
        <f t="shared" si="0"/>
        <v>3</v>
      </c>
      <c r="G24" s="1"/>
    </row>
    <row r="25" spans="1:7">
      <c r="A25" s="116" t="s">
        <v>43</v>
      </c>
      <c r="B25" s="116"/>
      <c r="C25" s="116"/>
      <c r="D25" s="116"/>
      <c r="E25" s="116"/>
      <c r="F25" s="116"/>
      <c r="G25" s="1"/>
    </row>
    <row r="26" spans="1:7">
      <c r="A26" s="116" t="s">
        <v>46</v>
      </c>
      <c r="B26" s="116"/>
      <c r="C26" s="106" t="s">
        <v>47</v>
      </c>
      <c r="D26" s="106" t="s">
        <v>48</v>
      </c>
      <c r="E26" s="106" t="s">
        <v>49</v>
      </c>
      <c r="F26" s="106" t="s">
        <v>50</v>
      </c>
      <c r="G26" s="1"/>
    </row>
    <row r="27" spans="1:7">
      <c r="A27" s="107" t="s">
        <v>2</v>
      </c>
      <c r="B27" s="107" t="s">
        <v>69</v>
      </c>
      <c r="C27" s="116">
        <f>Hoja1!H5</f>
        <v>1</v>
      </c>
      <c r="D27" s="116">
        <f>Hoja1!J5</f>
        <v>0</v>
      </c>
      <c r="E27" s="116">
        <f>Hoja1!L5</f>
        <v>0</v>
      </c>
      <c r="F27" s="116">
        <f>Hoja1!N5</f>
        <v>0</v>
      </c>
      <c r="G27" s="116"/>
    </row>
    <row r="28" spans="1:7">
      <c r="A28" s="107"/>
      <c r="B28" s="107"/>
      <c r="C28" s="116"/>
      <c r="D28" s="116"/>
      <c r="E28" s="116"/>
      <c r="F28" s="116"/>
      <c r="G28" s="116"/>
    </row>
    <row r="29" spans="1:7">
      <c r="A29" s="107" t="s">
        <v>15</v>
      </c>
      <c r="B29" s="107" t="s">
        <v>69</v>
      </c>
      <c r="C29" s="116">
        <f>Hoja1!H18</f>
        <v>0</v>
      </c>
      <c r="D29" s="116">
        <f>Hoja1!J18</f>
        <v>1</v>
      </c>
      <c r="E29" s="116">
        <f>Hoja1!L18</f>
        <v>0</v>
      </c>
      <c r="F29" s="116">
        <f>Hoja1!N18</f>
        <v>0</v>
      </c>
      <c r="G29" s="116"/>
    </row>
    <row r="30" spans="1:7">
      <c r="A30" s="107"/>
      <c r="B30" s="107"/>
      <c r="C30" s="116"/>
      <c r="D30" s="116"/>
      <c r="E30" s="116"/>
      <c r="F30" s="116"/>
      <c r="G30" s="116"/>
    </row>
    <row r="31" spans="1:7">
      <c r="A31" s="107" t="s">
        <v>18</v>
      </c>
      <c r="B31" s="107" t="s">
        <v>69</v>
      </c>
      <c r="C31" s="116">
        <f>Hoja1!H31</f>
        <v>0</v>
      </c>
      <c r="D31" s="116">
        <f>Hoja1!J31</f>
        <v>1</v>
      </c>
      <c r="E31" s="116">
        <f>Hoja1!L31</f>
        <v>0</v>
      </c>
      <c r="F31" s="116">
        <f>Hoja1!N31</f>
        <v>0</v>
      </c>
      <c r="G31" s="116"/>
    </row>
    <row r="32" spans="1:7">
      <c r="A32" s="107"/>
      <c r="B32" s="107"/>
      <c r="C32" s="116"/>
      <c r="D32" s="116"/>
      <c r="E32" s="116"/>
      <c r="F32" s="116"/>
      <c r="G32" s="116"/>
    </row>
    <row r="33" spans="1:7">
      <c r="A33" s="107" t="s">
        <v>21</v>
      </c>
      <c r="B33" s="107" t="s">
        <v>69</v>
      </c>
      <c r="C33" s="116">
        <f>Hoja1!H44</f>
        <v>1</v>
      </c>
      <c r="D33" s="116">
        <f>Hoja1!J44</f>
        <v>0</v>
      </c>
      <c r="E33" s="116">
        <f>Hoja1!L44</f>
        <v>0</v>
      </c>
      <c r="F33" s="116">
        <f>Hoja1!N44</f>
        <v>0</v>
      </c>
      <c r="G33" s="116"/>
    </row>
    <row r="34" spans="1:7">
      <c r="A34" s="107"/>
      <c r="B34" s="107"/>
      <c r="C34" s="116"/>
      <c r="D34" s="116"/>
      <c r="E34" s="116"/>
      <c r="F34" s="116"/>
      <c r="G34" s="116"/>
    </row>
    <row r="35" spans="1:7">
      <c r="A35" s="107" t="s">
        <v>63</v>
      </c>
      <c r="B35" s="107" t="s">
        <v>69</v>
      </c>
      <c r="C35" s="116">
        <f>Hoja1!H57</f>
        <v>1</v>
      </c>
      <c r="D35" s="116">
        <f>Hoja1!J57</f>
        <v>0</v>
      </c>
      <c r="E35" s="116">
        <f>Hoja1!L57</f>
        <v>0</v>
      </c>
      <c r="F35" s="116">
        <f>Hoja1!N57</f>
        <v>0</v>
      </c>
      <c r="G35" s="116"/>
    </row>
    <row r="36" spans="1:7">
      <c r="A36" s="107"/>
      <c r="B36" s="107"/>
      <c r="C36" s="116"/>
      <c r="D36" s="116"/>
      <c r="E36" s="116"/>
      <c r="F36" s="116"/>
      <c r="G36" s="116"/>
    </row>
    <row r="37" spans="1:7">
      <c r="A37" s="107" t="s">
        <v>64</v>
      </c>
      <c r="B37" s="107" t="s">
        <v>69</v>
      </c>
      <c r="C37" s="116">
        <f>Hoja1!H70</f>
        <v>1</v>
      </c>
      <c r="D37" s="116">
        <f>Hoja1!J70</f>
        <v>0</v>
      </c>
      <c r="E37" s="116">
        <f>Hoja1!L70</f>
        <v>0</v>
      </c>
      <c r="F37" s="116">
        <f>Hoja1!N70</f>
        <v>0</v>
      </c>
      <c r="G37" s="116"/>
    </row>
    <row r="38" spans="1:7">
      <c r="A38" s="107"/>
      <c r="B38" s="107"/>
      <c r="C38" s="116"/>
      <c r="D38" s="116"/>
      <c r="E38" s="116"/>
      <c r="F38" s="116"/>
      <c r="G38" s="116"/>
    </row>
    <row r="39" spans="1:7">
      <c r="A39" s="107" t="s">
        <v>65</v>
      </c>
      <c r="B39" s="107" t="s">
        <v>69</v>
      </c>
      <c r="C39" s="116">
        <f>Hoja1!H83</f>
        <v>1</v>
      </c>
      <c r="D39" s="116">
        <f>Hoja1!J83</f>
        <v>0</v>
      </c>
      <c r="E39" s="116">
        <f>Hoja1!L83</f>
        <v>0</v>
      </c>
      <c r="F39" s="116">
        <f>Hoja1!N83</f>
        <v>0</v>
      </c>
      <c r="G39" s="116"/>
    </row>
    <row r="40" spans="1:7">
      <c r="A40" s="107"/>
      <c r="B40" s="107"/>
      <c r="C40" s="116"/>
      <c r="D40" s="116"/>
      <c r="E40" s="116"/>
      <c r="F40" s="116"/>
      <c r="G40" s="116"/>
    </row>
    <row r="41" spans="1:7">
      <c r="A41" s="107" t="s">
        <v>66</v>
      </c>
      <c r="B41" s="107" t="s">
        <v>69</v>
      </c>
      <c r="C41" s="116">
        <f>Hoja1!H96</f>
        <v>1</v>
      </c>
      <c r="D41" s="116">
        <f>Hoja1!J96</f>
        <v>0</v>
      </c>
      <c r="E41" s="116">
        <f>Hoja1!L96</f>
        <v>0</v>
      </c>
      <c r="F41" s="116">
        <f>Hoja1!N96</f>
        <v>0</v>
      </c>
      <c r="G41" s="116"/>
    </row>
    <row r="42" spans="1:7">
      <c r="A42" s="107"/>
      <c r="B42" s="107"/>
      <c r="C42" s="116"/>
      <c r="D42" s="116"/>
      <c r="E42" s="116"/>
      <c r="F42" s="116"/>
      <c r="G42" s="116"/>
    </row>
    <row r="43" spans="1:7">
      <c r="A43" s="107" t="s">
        <v>67</v>
      </c>
      <c r="B43" s="107" t="s">
        <v>69</v>
      </c>
      <c r="C43" s="116">
        <f>Hoja1!H109</f>
        <v>1</v>
      </c>
      <c r="D43" s="116"/>
      <c r="E43" s="116"/>
      <c r="F43" s="116"/>
      <c r="G43" s="116"/>
    </row>
    <row r="44" spans="1:7">
      <c r="A44" s="107"/>
      <c r="B44" s="107"/>
      <c r="C44" s="116"/>
      <c r="D44" s="116"/>
      <c r="E44" s="116"/>
      <c r="F44" s="116"/>
      <c r="G44" s="116"/>
    </row>
    <row r="45" spans="1:7">
      <c r="A45" s="107"/>
      <c r="B45" s="107" t="s">
        <v>69</v>
      </c>
      <c r="C45" s="116">
        <f>Hoja1!H122</f>
        <v>0</v>
      </c>
      <c r="D45" s="116"/>
      <c r="E45" s="116"/>
      <c r="F45" s="116"/>
      <c r="G45" s="116"/>
    </row>
    <row r="46" spans="1:7">
      <c r="A46" s="107"/>
      <c r="B46" s="107"/>
      <c r="C46" s="116"/>
      <c r="D46" s="116"/>
      <c r="E46" s="116"/>
      <c r="F46" s="116"/>
      <c r="G46" s="116"/>
    </row>
    <row r="47" spans="1:7">
      <c r="A47" s="1" t="s">
        <v>19</v>
      </c>
      <c r="B47" s="1"/>
      <c r="C47" s="1">
        <f>+SUM(C27:C46)</f>
        <v>7</v>
      </c>
      <c r="D47" s="1">
        <f t="shared" ref="D47:F47" si="1">+SUM(D27:D46)</f>
        <v>2</v>
      </c>
      <c r="E47" s="1">
        <f t="shared" si="1"/>
        <v>0</v>
      </c>
      <c r="F47" s="1">
        <f t="shared" si="1"/>
        <v>0</v>
      </c>
      <c r="G47" s="1"/>
    </row>
  </sheetData>
  <mergeCells count="84">
    <mergeCell ref="A21:A22"/>
    <mergeCell ref="A9:A10"/>
    <mergeCell ref="A13:A14"/>
    <mergeCell ref="A15:A16"/>
    <mergeCell ref="A17:A18"/>
    <mergeCell ref="A19:A20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C29:C30"/>
    <mergeCell ref="D29:D30"/>
    <mergeCell ref="E29:E30"/>
    <mergeCell ref="F29:F30"/>
    <mergeCell ref="C31:C32"/>
    <mergeCell ref="D31:D32"/>
    <mergeCell ref="E31:E32"/>
    <mergeCell ref="F31:F32"/>
    <mergeCell ref="C33:C34"/>
    <mergeCell ref="D33:D34"/>
    <mergeCell ref="E33:E34"/>
    <mergeCell ref="F33:F34"/>
    <mergeCell ref="C35:C36"/>
    <mergeCell ref="D35:D36"/>
    <mergeCell ref="E35:E36"/>
    <mergeCell ref="F35:F36"/>
    <mergeCell ref="C37:C38"/>
    <mergeCell ref="D37:D38"/>
    <mergeCell ref="E37:E38"/>
    <mergeCell ref="F37:F38"/>
    <mergeCell ref="C39:C40"/>
    <mergeCell ref="D39:D40"/>
    <mergeCell ref="E39:E40"/>
    <mergeCell ref="F39:F40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G45:G46"/>
    <mergeCell ref="G43:G44"/>
    <mergeCell ref="G41:G42"/>
    <mergeCell ref="G39:G40"/>
    <mergeCell ref="G37:G38"/>
    <mergeCell ref="G35:G36"/>
    <mergeCell ref="G33:G34"/>
    <mergeCell ref="G27:G28"/>
    <mergeCell ref="G29:G30"/>
    <mergeCell ref="G31:G3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topLeftCell="A21" workbookViewId="0">
      <selection activeCell="A38" sqref="A38:A41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46</v>
      </c>
      <c r="B1" s="1" t="s">
        <v>38</v>
      </c>
      <c r="C1" s="1" t="s">
        <v>69</v>
      </c>
      <c r="D1" s="1" t="s">
        <v>70</v>
      </c>
      <c r="E1" s="1" t="s">
        <v>16</v>
      </c>
      <c r="F1" s="1" t="s">
        <v>71</v>
      </c>
      <c r="G1" s="1" t="s">
        <v>72</v>
      </c>
      <c r="H1" s="1"/>
    </row>
    <row r="2" spans="1:8">
      <c r="A2" s="57" t="s">
        <v>2</v>
      </c>
      <c r="B2" s="1" t="s">
        <v>4</v>
      </c>
      <c r="C2" s="1">
        <f>INDEX(Hoja1!$A$1:$N$250, INT((ROW(A1)-1)/4)*13 + 5, CHOOSE(MOD(ROW(A1)-1,4)+1, 8, 10, 12, 14))</f>
        <v>1</v>
      </c>
      <c r="D2" s="1">
        <f>INDEX(Hoja1!$A$1:$N$250, INT((ROW(A1)-1)/4)*13 + 6, CHOOSE(MOD(ROW(A1)-1,4)+1, 8, 10, 12, 14))</f>
        <v>1</v>
      </c>
      <c r="E2" s="1">
        <f>INDEX(Hoja1!$A$1:$N$250, INT((ROW(A1)-1)/4)*13 + 7, CHOOSE(MOD(ROW(A1)-1,4)+1, 8, 10, 12, 14))</f>
        <v>1</v>
      </c>
      <c r="F2" s="1">
        <f>IF(INDEX(Hoja1!$A$1:$N$250, INT((ROW(A1)-1)/4)*13 + 3, CHOOSE(MOD(ROW(A1)-1,4)+1, 7, 9, 11, 13))=0, "", INDEX(Hoja1!$A$1:$N$250, INT((ROW(A1)-1)/4)*13 + 3, CHOOSE(MOD(ROW(A1)-1,4)+1, 7, 9, 11, 13)))</f>
        <v>1</v>
      </c>
      <c r="G2" s="1">
        <f>IF(INDEX(Hoja1!$A$1:$N$250, INT((ROW(A1)-1)/4)*13 + 4, CHOOSE(MOD(ROW(A1)-1,4)+1, 7, 9, 11, 13))=0, "", INDEX(Hoja1!$A$1:$N$250, INT((ROW(A1)-1)/4)*13 + 4, CHOOSE(MOD(ROW(A1)-1,4)+1, 7, 9, 11, 13)))</f>
        <v>3</v>
      </c>
      <c r="H2" s="1"/>
    </row>
    <row r="3" spans="1:8">
      <c r="A3" s="57" t="s">
        <v>2</v>
      </c>
      <c r="B3" s="1" t="s">
        <v>6</v>
      </c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2</v>
      </c>
      <c r="G3" s="1">
        <f>IF(INDEX(Hoja1!$A$1:$N$250, INT((ROW(A2)-1)/4)*13 + 4, CHOOSE(MOD(ROW(A2)-1,4)+1, 7, 9, 11, 13))=0, "", INDEX(Hoja1!$A$1:$N$250, INT((ROW(A2)-1)/4)*13 + 4, CHOOSE(MOD(ROW(A2)-1,4)+1, 7, 9, 11, 13)))</f>
        <v>1</v>
      </c>
      <c r="H3" s="1"/>
    </row>
    <row r="4" spans="1:8">
      <c r="A4" s="57" t="s">
        <v>2</v>
      </c>
      <c r="B4" s="1" t="s">
        <v>7</v>
      </c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4</v>
      </c>
      <c r="G4" s="1">
        <f>IF(INDEX(Hoja1!$A$1:$N$250, INT((ROW(A3)-1)/4)*13 + 4, CHOOSE(MOD(ROW(A3)-1,4)+1, 7, 9, 11, 13))=0, "", INDEX(Hoja1!$A$1:$N$250, INT((ROW(A3)-1)/4)*13 + 4, CHOOSE(MOD(ROW(A3)-1,4)+1, 7, 9, 11, 13)))</f>
        <v>4</v>
      </c>
      <c r="H4" s="1"/>
    </row>
    <row r="5" spans="1:8">
      <c r="A5" s="57" t="s">
        <v>2</v>
      </c>
      <c r="B5" s="1" t="s">
        <v>8</v>
      </c>
      <c r="C5" s="1">
        <f>INDEX(Hoja1!$A$1:$N$250, INT((ROW(A4)-1)/4)*13 + 5, CHOOSE(MOD(ROW(A4)-1,4)+1, 8, 10, 12, 14))</f>
        <v>0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3</v>
      </c>
      <c r="G5" s="1">
        <f>IF(INDEX(Hoja1!$A$1:$N$250, INT((ROW(A4)-1)/4)*13 + 4, CHOOSE(MOD(ROW(A4)-1,4)+1, 7, 9, 11, 13))=0, "", INDEX(Hoja1!$A$1:$N$250, INT((ROW(A4)-1)/4)*13 + 4, CHOOSE(MOD(ROW(A4)-1,4)+1, 7, 9, 11, 13)))</f>
        <v>2</v>
      </c>
      <c r="H5" s="1"/>
    </row>
    <row r="6" spans="1:8">
      <c r="A6" s="57" t="s">
        <v>15</v>
      </c>
      <c r="B6" s="1" t="s">
        <v>4</v>
      </c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>
        <f>IF(INDEX(Hoja1!$A$1:$N$250, INT((ROW(A5)-1)/4)*13 + 3, CHOOSE(MOD(ROW(A5)-1,4)+1, 7, 9, 11, 13))=0, "", INDEX(Hoja1!$A$1:$N$250, INT((ROW(A5)-1)/4)*13 + 3, CHOOSE(MOD(ROW(A5)-1,4)+1, 7, 9, 11, 13)))</f>
        <v>4</v>
      </c>
      <c r="G6" s="1">
        <f>IF(INDEX(Hoja1!$A$1:$N$250, INT((ROW(A5)-1)/4)*13 + 4, CHOOSE(MOD(ROW(A5)-1,4)+1, 7, 9, 11, 13))=0, "", INDEX(Hoja1!$A$1:$N$250, INT((ROW(A5)-1)/4)*13 + 4, CHOOSE(MOD(ROW(A5)-1,4)+1, 7, 9, 11, 13)))</f>
        <v>2</v>
      </c>
      <c r="H6" s="1"/>
    </row>
    <row r="7" spans="1:8">
      <c r="A7" s="57" t="s">
        <v>15</v>
      </c>
      <c r="B7" s="1" t="s">
        <v>6</v>
      </c>
      <c r="C7" s="1">
        <f>INDEX(Hoja1!$A$1:$N$250, INT((ROW(A6)-1)/4)*13 + 5, CHOOSE(MOD(ROW(A6)-1,4)+1, 8, 10, 12, 14))</f>
        <v>1</v>
      </c>
      <c r="D7" s="1">
        <f>INDEX(Hoja1!$A$1:$N$250, INT((ROW(A6)-1)/4)*13 + 6, CHOOSE(MOD(ROW(A6)-1,4)+1, 8, 10, 12, 14))</f>
        <v>1</v>
      </c>
      <c r="E7" s="1">
        <f>INDEX(Hoja1!$A$1:$N$250, INT((ROW(A6)-1)/4)*13 + 7, CHOOSE(MOD(ROW(A6)-1,4)+1, 8, 10, 12, 14))</f>
        <v>1</v>
      </c>
      <c r="F7" s="1">
        <f>IF(INDEX(Hoja1!$A$1:$N$250, INT((ROW(A6)-1)/4)*13 + 3, CHOOSE(MOD(ROW(A6)-1,4)+1, 7, 9, 11, 13))=0, "", INDEX(Hoja1!$A$1:$N$250, INT((ROW(A6)-1)/4)*13 + 3, CHOOSE(MOD(ROW(A6)-1,4)+1, 7, 9, 11, 13)))</f>
        <v>3</v>
      </c>
      <c r="G7" s="1">
        <f>IF(INDEX(Hoja1!$A$1:$N$250, INT((ROW(A6)-1)/4)*13 + 4, CHOOSE(MOD(ROW(A6)-1,4)+1, 7, 9, 11, 13))=0, "", INDEX(Hoja1!$A$1:$N$250, INT((ROW(A6)-1)/4)*13 + 4, CHOOSE(MOD(ROW(A6)-1,4)+1, 7, 9, 11, 13)))</f>
        <v>1</v>
      </c>
      <c r="H7" s="1"/>
    </row>
    <row r="8" spans="1:8">
      <c r="A8" s="57" t="s">
        <v>15</v>
      </c>
      <c r="B8" s="1" t="s">
        <v>7</v>
      </c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>
        <f>IF(INDEX(Hoja1!$A$1:$N$250, INT((ROW(A7)-1)/4)*13 + 3, CHOOSE(MOD(ROW(A7)-1,4)+1, 7, 9, 11, 13))=0, "", INDEX(Hoja1!$A$1:$N$250, INT((ROW(A7)-1)/4)*13 + 3, CHOOSE(MOD(ROW(A7)-1,4)+1, 7, 9, 11, 13)))</f>
        <v>1</v>
      </c>
      <c r="G8" s="1">
        <f>IF(INDEX(Hoja1!$A$1:$N$250, INT((ROW(A7)-1)/4)*13 + 4, CHOOSE(MOD(ROW(A7)-1,4)+1, 7, 9, 11, 13))=0, "", INDEX(Hoja1!$A$1:$N$250, INT((ROW(A7)-1)/4)*13 + 4, CHOOSE(MOD(ROW(A7)-1,4)+1, 7, 9, 11, 13)))</f>
        <v>3</v>
      </c>
      <c r="H8" s="1"/>
    </row>
    <row r="9" spans="1:8">
      <c r="A9" s="57" t="s">
        <v>15</v>
      </c>
      <c r="B9" s="1" t="s">
        <v>8</v>
      </c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>
        <f>IF(INDEX(Hoja1!$A$1:$N$250, INT((ROW(A8)-1)/4)*13 + 3, CHOOSE(MOD(ROW(A8)-1,4)+1, 7, 9, 11, 13))=0, "", INDEX(Hoja1!$A$1:$N$250, INT((ROW(A8)-1)/4)*13 + 3, CHOOSE(MOD(ROW(A8)-1,4)+1, 7, 9, 11, 13)))</f>
        <v>2</v>
      </c>
      <c r="G9" s="1">
        <f>IF(INDEX(Hoja1!$A$1:$N$250, INT((ROW(A8)-1)/4)*13 + 4, CHOOSE(MOD(ROW(A8)-1,4)+1, 7, 9, 11, 13))=0, "", INDEX(Hoja1!$A$1:$N$250, INT((ROW(A8)-1)/4)*13 + 4, CHOOSE(MOD(ROW(A8)-1,4)+1, 7, 9, 11, 13)))</f>
        <v>4</v>
      </c>
      <c r="H9" s="1"/>
    </row>
    <row r="10" spans="1:8">
      <c r="A10" s="57" t="s">
        <v>18</v>
      </c>
      <c r="B10" s="1" t="s">
        <v>4</v>
      </c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>
        <f>IF(INDEX(Hoja1!$A$1:$N$250, INT((ROW(A9)-1)/4)*13 + 3, CHOOSE(MOD(ROW(A9)-1,4)+1, 7, 9, 11, 13))=0, "", INDEX(Hoja1!$A$1:$N$250, INT((ROW(A9)-1)/4)*13 + 3, CHOOSE(MOD(ROW(A9)-1,4)+1, 7, 9, 11, 13)))</f>
        <v>2</v>
      </c>
      <c r="G10" s="1">
        <f>IF(INDEX(Hoja1!$A$1:$N$250, INT((ROW(A9)-1)/4)*13 + 4, CHOOSE(MOD(ROW(A9)-1,4)+1, 7, 9, 11, 13))=0, "", INDEX(Hoja1!$A$1:$N$250, INT((ROW(A9)-1)/4)*13 + 4, CHOOSE(MOD(ROW(A9)-1,4)+1, 7, 9, 11, 13)))</f>
        <v>2</v>
      </c>
      <c r="H10" s="1"/>
    </row>
    <row r="11" spans="1:8">
      <c r="A11" s="57" t="s">
        <v>18</v>
      </c>
      <c r="B11" s="1" t="s">
        <v>6</v>
      </c>
      <c r="C11" s="1">
        <f>INDEX(Hoja1!$A$1:$N$250, INT((ROW(A10)-1)/4)*13 + 5, CHOOSE(MOD(ROW(A10)-1,4)+1, 8, 10, 12, 14))</f>
        <v>1</v>
      </c>
      <c r="D11" s="1">
        <f>INDEX(Hoja1!$A$1:$N$250, INT((ROW(A10)-1)/4)*13 + 6, CHOOSE(MOD(ROW(A10)-1,4)+1, 8, 10, 12, 14))</f>
        <v>1</v>
      </c>
      <c r="E11" s="1">
        <f>INDEX(Hoja1!$A$1:$N$250, INT((ROW(A10)-1)/4)*13 + 7, CHOOSE(MOD(ROW(A10)-1,4)+1, 8, 10, 12, 14))</f>
        <v>1</v>
      </c>
      <c r="F11" s="1">
        <f>IF(INDEX(Hoja1!$A$1:$N$250, INT((ROW(A10)-1)/4)*13 + 3, CHOOSE(MOD(ROW(A10)-1,4)+1, 7, 9, 11, 13))=0, "", INDEX(Hoja1!$A$1:$N$250, INT((ROW(A10)-1)/4)*13 + 3, CHOOSE(MOD(ROW(A10)-1,4)+1, 7, 9, 11, 13)))</f>
        <v>1</v>
      </c>
      <c r="G11" s="1">
        <f>IF(INDEX(Hoja1!$A$1:$N$250, INT((ROW(A10)-1)/4)*13 + 4, CHOOSE(MOD(ROW(A10)-1,4)+1, 7, 9, 11, 13))=0, "", INDEX(Hoja1!$A$1:$N$250, INT((ROW(A10)-1)/4)*13 + 4, CHOOSE(MOD(ROW(A10)-1,4)+1, 7, 9, 11, 13)))</f>
        <v>1</v>
      </c>
      <c r="H11" s="1"/>
    </row>
    <row r="12" spans="1:8">
      <c r="A12" s="57" t="s">
        <v>18</v>
      </c>
      <c r="B12" s="1" t="s">
        <v>7</v>
      </c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>
        <f>IF(INDEX(Hoja1!$A$1:$N$250, INT((ROW(A11)-1)/4)*13 + 3, CHOOSE(MOD(ROW(A11)-1,4)+1, 7, 9, 11, 13))=0, "", INDEX(Hoja1!$A$1:$N$250, INT((ROW(A11)-1)/4)*13 + 3, CHOOSE(MOD(ROW(A11)-1,4)+1, 7, 9, 11, 13)))</f>
        <v>3</v>
      </c>
      <c r="G12" s="1">
        <f>IF(INDEX(Hoja1!$A$1:$N$250, INT((ROW(A11)-1)/4)*13 + 4, CHOOSE(MOD(ROW(A11)-1,4)+1, 7, 9, 11, 13))=0, "", INDEX(Hoja1!$A$1:$N$250, INT((ROW(A11)-1)/4)*13 + 4, CHOOSE(MOD(ROW(A11)-1,4)+1, 7, 9, 11, 13)))</f>
        <v>3</v>
      </c>
      <c r="H12" s="1"/>
    </row>
    <row r="13" spans="1:8">
      <c r="A13" s="57" t="s">
        <v>18</v>
      </c>
      <c r="B13" s="1" t="s">
        <v>8</v>
      </c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>
        <f>IF(INDEX(Hoja1!$A$1:$N$250, INT((ROW(A12)-1)/4)*13 + 3, CHOOSE(MOD(ROW(A12)-1,4)+1, 7, 9, 11, 13))=0, "", INDEX(Hoja1!$A$1:$N$250, INT((ROW(A12)-1)/4)*13 + 3, CHOOSE(MOD(ROW(A12)-1,4)+1, 7, 9, 11, 13)))</f>
        <v>4</v>
      </c>
      <c r="G13" s="1">
        <f>IF(INDEX(Hoja1!$A$1:$N$250, INT((ROW(A12)-1)/4)*13 + 4, CHOOSE(MOD(ROW(A12)-1,4)+1, 7, 9, 11, 13))=0, "", INDEX(Hoja1!$A$1:$N$250, INT((ROW(A12)-1)/4)*13 + 4, CHOOSE(MOD(ROW(A12)-1,4)+1, 7, 9, 11, 13)))</f>
        <v>4</v>
      </c>
      <c r="H13" s="1"/>
    </row>
    <row r="14" spans="1:8">
      <c r="A14" s="57" t="s">
        <v>21</v>
      </c>
      <c r="B14" s="1" t="s">
        <v>4</v>
      </c>
      <c r="C14" s="1">
        <f>INDEX(Hoja1!$A$1:$N$250, INT((ROW(A13)-1)/4)*13 + 5, CHOOSE(MOD(ROW(A13)-1,4)+1, 8, 10, 12, 14))</f>
        <v>1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1</v>
      </c>
      <c r="F14" s="1">
        <f>IF(INDEX(Hoja1!$A$1:$N$250, INT((ROW(A13)-1)/4)*13 + 3, CHOOSE(MOD(ROW(A13)-1,4)+1, 7, 9, 11, 13))=0, "", INDEX(Hoja1!$A$1:$N$250, INT((ROW(A13)-1)/4)*13 + 3, CHOOSE(MOD(ROW(A13)-1,4)+1, 7, 9, 11, 13)))</f>
        <v>1</v>
      </c>
      <c r="G14" s="1">
        <f>IF(INDEX(Hoja1!$A$1:$N$250, INT((ROW(A13)-1)/4)*13 + 4, CHOOSE(MOD(ROW(A13)-1,4)+1, 7, 9, 11, 13))=0, "", INDEX(Hoja1!$A$1:$N$250, INT((ROW(A13)-1)/4)*13 + 4, CHOOSE(MOD(ROW(A13)-1,4)+1, 7, 9, 11, 13)))</f>
        <v>1</v>
      </c>
      <c r="H14" s="1"/>
    </row>
    <row r="15" spans="1:8">
      <c r="A15" s="57" t="s">
        <v>21</v>
      </c>
      <c r="B15" s="1" t="s">
        <v>6</v>
      </c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>
        <f>IF(INDEX(Hoja1!$A$1:$N$250, INT((ROW(A14)-1)/4)*13 + 3, CHOOSE(MOD(ROW(A14)-1,4)+1, 7, 9, 11, 13))=0, "", INDEX(Hoja1!$A$1:$N$250, INT((ROW(A14)-1)/4)*13 + 3, CHOOSE(MOD(ROW(A14)-1,4)+1, 7, 9, 11, 13)))</f>
        <v>3</v>
      </c>
      <c r="G15" s="1">
        <f>IF(INDEX(Hoja1!$A$1:$N$250, INT((ROW(A14)-1)/4)*13 + 4, CHOOSE(MOD(ROW(A14)-1,4)+1, 7, 9, 11, 13))=0, "", INDEX(Hoja1!$A$1:$N$250, INT((ROW(A14)-1)/4)*13 + 4, CHOOSE(MOD(ROW(A14)-1,4)+1, 7, 9, 11, 13)))</f>
        <v>2</v>
      </c>
      <c r="H15" s="1"/>
    </row>
    <row r="16" spans="1:8">
      <c r="A16" s="57" t="s">
        <v>21</v>
      </c>
      <c r="B16" s="1" t="s">
        <v>7</v>
      </c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>
        <f>IF(INDEX(Hoja1!$A$1:$N$250, INT((ROW(A15)-1)/4)*13 + 3, CHOOSE(MOD(ROW(A15)-1,4)+1, 7, 9, 11, 13))=0, "", INDEX(Hoja1!$A$1:$N$250, INT((ROW(A15)-1)/4)*13 + 3, CHOOSE(MOD(ROW(A15)-1,4)+1, 7, 9, 11, 13)))</f>
        <v>4</v>
      </c>
      <c r="G16" s="1">
        <f>IF(INDEX(Hoja1!$A$1:$N$250, INT((ROW(A15)-1)/4)*13 + 4, CHOOSE(MOD(ROW(A15)-1,4)+1, 7, 9, 11, 13))=0, "", INDEX(Hoja1!$A$1:$N$250, INT((ROW(A15)-1)/4)*13 + 4, CHOOSE(MOD(ROW(A15)-1,4)+1, 7, 9, 11, 13)))</f>
        <v>3</v>
      </c>
      <c r="H16" s="1"/>
    </row>
    <row r="17" spans="1:7">
      <c r="A17" s="57" t="s">
        <v>21</v>
      </c>
      <c r="B17" s="1" t="s">
        <v>8</v>
      </c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1</v>
      </c>
      <c r="E17" s="1">
        <f>INDEX(Hoja1!$A$1:$N$250, INT((ROW(A16)-1)/4)*13 + 7, CHOOSE(MOD(ROW(A16)-1,4)+1, 8, 10, 12, 14))</f>
        <v>0</v>
      </c>
      <c r="F17" s="1">
        <f>IF(INDEX(Hoja1!$A$1:$N$250, INT((ROW(A16)-1)/4)*13 + 3, CHOOSE(MOD(ROW(A16)-1,4)+1, 7, 9, 11, 13))=0, "", INDEX(Hoja1!$A$1:$N$250, INT((ROW(A16)-1)/4)*13 + 3, CHOOSE(MOD(ROW(A16)-1,4)+1, 7, 9, 11, 13)))</f>
        <v>2</v>
      </c>
      <c r="G17" s="1">
        <f>IF(INDEX(Hoja1!$A$1:$N$250, INT((ROW(A16)-1)/4)*13 + 4, CHOOSE(MOD(ROW(A16)-1,4)+1, 7, 9, 11, 13))=0, "", INDEX(Hoja1!$A$1:$N$250, INT((ROW(A16)-1)/4)*13 + 4, CHOOSE(MOD(ROW(A16)-1,4)+1, 7, 9, 11, 13)))</f>
        <v>4</v>
      </c>
    </row>
    <row r="18" spans="1:7">
      <c r="A18" s="57" t="s">
        <v>63</v>
      </c>
      <c r="B18" s="1" t="s">
        <v>4</v>
      </c>
      <c r="C18" s="1">
        <f>INDEX(Hoja1!$A$1:$N$250, INT((ROW(A17)-1)/4)*13 + 5, CHOOSE(MOD(ROW(A17)-1,4)+1, 8, 10, 12, 14))</f>
        <v>1</v>
      </c>
      <c r="D18" s="1">
        <f>INDEX(Hoja1!$A$1:$N$250, INT((ROW(A17)-1)/4)*13 + 6, CHOOSE(MOD(ROW(A17)-1,4)+1, 8, 10, 12, 14))</f>
        <v>1</v>
      </c>
      <c r="E18" s="1">
        <f>INDEX(Hoja1!$A$1:$N$250, INT((ROW(A17)-1)/4)*13 + 7, CHOOSE(MOD(ROW(A17)-1,4)+1, 8, 10, 12, 14))</f>
        <v>0</v>
      </c>
      <c r="F18" s="1">
        <f>IF(INDEX(Hoja1!$A$1:$N$250, INT((ROW(A17)-1)/4)*13 + 3, CHOOSE(MOD(ROW(A17)-1,4)+1, 7, 9, 11, 13))=0, "", INDEX(Hoja1!$A$1:$N$250, INT((ROW(A17)-1)/4)*13 + 3, CHOOSE(MOD(ROW(A17)-1,4)+1, 7, 9, 11, 13)))</f>
        <v>3</v>
      </c>
      <c r="G18" s="1">
        <f>IF(INDEX(Hoja1!$A$1:$N$250, INT((ROW(A17)-1)/4)*13 + 4, CHOOSE(MOD(ROW(A17)-1,4)+1, 7, 9, 11, 13))=0, "", INDEX(Hoja1!$A$1:$N$250, INT((ROW(A17)-1)/4)*13 + 4, CHOOSE(MOD(ROW(A17)-1,4)+1, 7, 9, 11, 13)))</f>
        <v>2</v>
      </c>
    </row>
    <row r="19" spans="1:7">
      <c r="A19" s="57" t="s">
        <v>63</v>
      </c>
      <c r="B19" s="1" t="s">
        <v>6</v>
      </c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>
        <f>IF(INDEX(Hoja1!$A$1:$N$250, INT((ROW(A18)-1)/4)*13 + 3, CHOOSE(MOD(ROW(A18)-1,4)+1, 7, 9, 11, 13))=0, "", INDEX(Hoja1!$A$1:$N$250, INT((ROW(A18)-1)/4)*13 + 3, CHOOSE(MOD(ROW(A18)-1,4)+1, 7, 9, 11, 13)))</f>
        <v>2</v>
      </c>
      <c r="G19" s="1">
        <f>IF(INDEX(Hoja1!$A$1:$N$250, INT((ROW(A18)-1)/4)*13 + 4, CHOOSE(MOD(ROW(A18)-1,4)+1, 7, 9, 11, 13))=0, "", INDEX(Hoja1!$A$1:$N$250, INT((ROW(A18)-1)/4)*13 + 4, CHOOSE(MOD(ROW(A18)-1,4)+1, 7, 9, 11, 13)))</f>
        <v>3</v>
      </c>
    </row>
    <row r="20" spans="1:7">
      <c r="A20" s="57" t="s">
        <v>63</v>
      </c>
      <c r="B20" s="1" t="s">
        <v>7</v>
      </c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>
        <f>IF(INDEX(Hoja1!$A$1:$N$250, INT((ROW(A19)-1)/4)*13 + 3, CHOOSE(MOD(ROW(A19)-1,4)+1, 7, 9, 11, 13))=0, "", INDEX(Hoja1!$A$1:$N$250, INT((ROW(A19)-1)/4)*13 + 3, CHOOSE(MOD(ROW(A19)-1,4)+1, 7, 9, 11, 13)))</f>
        <v>4</v>
      </c>
      <c r="G20" s="1">
        <f>IF(INDEX(Hoja1!$A$1:$N$250, INT((ROW(A19)-1)/4)*13 + 4, CHOOSE(MOD(ROW(A19)-1,4)+1, 7, 9, 11, 13))=0, "", INDEX(Hoja1!$A$1:$N$250, INT((ROW(A19)-1)/4)*13 + 4, CHOOSE(MOD(ROW(A19)-1,4)+1, 7, 9, 11, 13)))</f>
        <v>4</v>
      </c>
    </row>
    <row r="21" spans="1:7">
      <c r="A21" s="57" t="s">
        <v>63</v>
      </c>
      <c r="B21" s="1" t="s">
        <v>8</v>
      </c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1</v>
      </c>
      <c r="F21" s="1">
        <f>IF(INDEX(Hoja1!$A$1:$N$250, INT((ROW(A20)-1)/4)*13 + 3, CHOOSE(MOD(ROW(A20)-1,4)+1, 7, 9, 11, 13))=0, "", INDEX(Hoja1!$A$1:$N$250, INT((ROW(A20)-1)/4)*13 + 3, CHOOSE(MOD(ROW(A20)-1,4)+1, 7, 9, 11, 13)))</f>
        <v>1</v>
      </c>
      <c r="G21" s="1">
        <f>IF(INDEX(Hoja1!$A$1:$N$250, INT((ROW(A20)-1)/4)*13 + 4, CHOOSE(MOD(ROW(A20)-1,4)+1, 7, 9, 11, 13))=0, "", INDEX(Hoja1!$A$1:$N$250, INT((ROW(A20)-1)/4)*13 + 4, CHOOSE(MOD(ROW(A20)-1,4)+1, 7, 9, 11, 13)))</f>
        <v>1</v>
      </c>
    </row>
    <row r="22" spans="1:7">
      <c r="A22" s="57" t="s">
        <v>64</v>
      </c>
      <c r="B22" s="1" t="s">
        <v>4</v>
      </c>
      <c r="C22" s="1">
        <f>INDEX(Hoja1!$A$1:$N$250, INT((ROW(A21)-1)/4)*13 + 5, CHOOSE(MOD(ROW(A21)-1,4)+1, 8, 10, 12, 14))</f>
        <v>1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>
        <f>IF(INDEX(Hoja1!$A$1:$N$250, INT((ROW(A21)-1)/4)*13 + 3, CHOOSE(MOD(ROW(A21)-1,4)+1, 7, 9, 11, 13))=0, "", INDEX(Hoja1!$A$1:$N$250, INT((ROW(A21)-1)/4)*13 + 3, CHOOSE(MOD(ROW(A21)-1,4)+1, 7, 9, 11, 13)))</f>
        <v>3</v>
      </c>
      <c r="G22" s="1">
        <f>IF(INDEX(Hoja1!$A$1:$N$250, INT((ROW(A21)-1)/4)*13 + 4, CHOOSE(MOD(ROW(A21)-1,4)+1, 7, 9, 11, 13))=0, "", INDEX(Hoja1!$A$1:$N$250, INT((ROW(A21)-1)/4)*13 + 4, CHOOSE(MOD(ROW(A21)-1,4)+1, 7, 9, 11, 13)))</f>
        <v>1</v>
      </c>
    </row>
    <row r="23" spans="1:7">
      <c r="A23" s="57" t="s">
        <v>64</v>
      </c>
      <c r="B23" s="1" t="s">
        <v>6</v>
      </c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1</v>
      </c>
      <c r="E23" s="1">
        <f>INDEX(Hoja1!$A$1:$N$250, INT((ROW(A22)-1)/4)*13 + 7, CHOOSE(MOD(ROW(A22)-1,4)+1, 8, 10, 12, 14))</f>
        <v>1</v>
      </c>
      <c r="F23" s="1">
        <f>IF(INDEX(Hoja1!$A$1:$N$250, INT((ROW(A22)-1)/4)*13 + 3, CHOOSE(MOD(ROW(A22)-1,4)+1, 7, 9, 11, 13))=0, "", INDEX(Hoja1!$A$1:$N$250, INT((ROW(A22)-1)/4)*13 + 3, CHOOSE(MOD(ROW(A22)-1,4)+1, 7, 9, 11, 13)))</f>
        <v>1</v>
      </c>
      <c r="G23" s="1">
        <f>IF(INDEX(Hoja1!$A$1:$N$250, INT((ROW(A22)-1)/4)*13 + 4, CHOOSE(MOD(ROW(A22)-1,4)+1, 7, 9, 11, 13))=0, "", INDEX(Hoja1!$A$1:$N$250, INT((ROW(A22)-1)/4)*13 + 4, CHOOSE(MOD(ROW(A22)-1,4)+1, 7, 9, 11, 13)))</f>
        <v>2</v>
      </c>
    </row>
    <row r="24" spans="1:7">
      <c r="A24" s="57" t="s">
        <v>64</v>
      </c>
      <c r="B24" s="1" t="s">
        <v>7</v>
      </c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>
        <f>IF(INDEX(Hoja1!$A$1:$N$250, INT((ROW(A23)-1)/4)*13 + 3, CHOOSE(MOD(ROW(A23)-1,4)+1, 7, 9, 11, 13))=0, "", INDEX(Hoja1!$A$1:$N$250, INT((ROW(A23)-1)/4)*13 + 3, CHOOSE(MOD(ROW(A23)-1,4)+1, 7, 9, 11, 13)))</f>
        <v>4</v>
      </c>
      <c r="G24" s="1">
        <f>IF(INDEX(Hoja1!$A$1:$N$250, INT((ROW(A23)-1)/4)*13 + 4, CHOOSE(MOD(ROW(A23)-1,4)+1, 7, 9, 11, 13))=0, "", INDEX(Hoja1!$A$1:$N$250, INT((ROW(A23)-1)/4)*13 + 4, CHOOSE(MOD(ROW(A23)-1,4)+1, 7, 9, 11, 13)))</f>
        <v>4</v>
      </c>
    </row>
    <row r="25" spans="1:7">
      <c r="A25" s="57" t="s">
        <v>64</v>
      </c>
      <c r="B25" s="1" t="s">
        <v>8</v>
      </c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>
        <f>IF(INDEX(Hoja1!$A$1:$N$250, INT((ROW(A24)-1)/4)*13 + 3, CHOOSE(MOD(ROW(A24)-1,4)+1, 7, 9, 11, 13))=0, "", INDEX(Hoja1!$A$1:$N$250, INT((ROW(A24)-1)/4)*13 + 3, CHOOSE(MOD(ROW(A24)-1,4)+1, 7, 9, 11, 13)))</f>
        <v>2</v>
      </c>
      <c r="G25" s="1">
        <f>IF(INDEX(Hoja1!$A$1:$N$250, INT((ROW(A24)-1)/4)*13 + 4, CHOOSE(MOD(ROW(A24)-1,4)+1, 7, 9, 11, 13))=0, "", INDEX(Hoja1!$A$1:$N$250, INT((ROW(A24)-1)/4)*13 + 4, CHOOSE(MOD(ROW(A24)-1,4)+1, 7, 9, 11, 13)))</f>
        <v>3</v>
      </c>
    </row>
    <row r="26" spans="1:7">
      <c r="A26" s="2" t="s">
        <v>65</v>
      </c>
      <c r="B26" s="1" t="s">
        <v>4</v>
      </c>
      <c r="C26" s="1">
        <f>INDEX(Hoja1!$A$1:$N$250, INT((ROW(A25)-1)/4)*13 + 5, CHOOSE(MOD(ROW(A25)-1,4)+1, 8, 10, 12, 14))</f>
        <v>1</v>
      </c>
      <c r="D26" s="1">
        <f>INDEX(Hoja1!$A$1:$N$250, INT((ROW(A25)-1)/4)*13 + 6, CHOOSE(MOD(ROW(A25)-1,4)+1, 8, 10, 12, 14))</f>
        <v>1</v>
      </c>
      <c r="E26" s="1">
        <f>INDEX(Hoja1!$A$1:$N$250, INT((ROW(A25)-1)/4)*13 + 7, CHOOSE(MOD(ROW(A25)-1,4)+1, 8, 10, 12, 14))</f>
        <v>0</v>
      </c>
      <c r="F26" s="1">
        <f>IF(INDEX(Hoja1!$A$1:$N$250, INT((ROW(A25)-1)/4)*13 + 3, CHOOSE(MOD(ROW(A25)-1,4)+1, 7, 9, 11, 13))=0, "", INDEX(Hoja1!$A$1:$N$250, INT((ROW(A25)-1)/4)*13 + 3, CHOOSE(MOD(ROW(A25)-1,4)+1, 7, 9, 11, 13)))</f>
        <v>1</v>
      </c>
      <c r="G26" s="1">
        <f>IF(INDEX(Hoja1!$A$1:$N$250, INT((ROW(A25)-1)/4)*13 + 4, CHOOSE(MOD(ROW(A25)-1,4)+1, 7, 9, 11, 13))=0, "", INDEX(Hoja1!$A$1:$N$250, INT((ROW(A25)-1)/4)*13 + 4, CHOOSE(MOD(ROW(A25)-1,4)+1, 7, 9, 11, 13)))</f>
        <v>2</v>
      </c>
    </row>
    <row r="27" spans="1:7">
      <c r="A27" s="2" t="s">
        <v>65</v>
      </c>
      <c r="B27" s="1" t="s">
        <v>6</v>
      </c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1</v>
      </c>
      <c r="F27" s="1">
        <f>IF(INDEX(Hoja1!$A$1:$N$250, INT((ROW(A26)-1)/4)*13 + 3, CHOOSE(MOD(ROW(A26)-1,4)+1, 7, 9, 11, 13))=0, "", INDEX(Hoja1!$A$1:$N$250, INT((ROW(A26)-1)/4)*13 + 3, CHOOSE(MOD(ROW(A26)-1,4)+1, 7, 9, 11, 13)))</f>
        <v>2</v>
      </c>
      <c r="G27" s="1">
        <f>IF(INDEX(Hoja1!$A$1:$N$250, INT((ROW(A26)-1)/4)*13 + 4, CHOOSE(MOD(ROW(A26)-1,4)+1, 7, 9, 11, 13))=0, "", INDEX(Hoja1!$A$1:$N$250, INT((ROW(A26)-1)/4)*13 + 4, CHOOSE(MOD(ROW(A26)-1,4)+1, 7, 9, 11, 13)))</f>
        <v>3</v>
      </c>
    </row>
    <row r="28" spans="1:7">
      <c r="A28" s="2" t="s">
        <v>65</v>
      </c>
      <c r="B28" s="1" t="s">
        <v>7</v>
      </c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>
        <f>IF(INDEX(Hoja1!$A$1:$N$250, INT((ROW(A27)-1)/4)*13 + 3, CHOOSE(MOD(ROW(A27)-1,4)+1, 7, 9, 11, 13))=0, "", INDEX(Hoja1!$A$1:$N$250, INT((ROW(A27)-1)/4)*13 + 3, CHOOSE(MOD(ROW(A27)-1,4)+1, 7, 9, 11, 13)))</f>
        <v>3</v>
      </c>
      <c r="G28" s="1">
        <f>IF(INDEX(Hoja1!$A$1:$N$250, INT((ROW(A27)-1)/4)*13 + 4, CHOOSE(MOD(ROW(A27)-1,4)+1, 7, 9, 11, 13))=0, "", INDEX(Hoja1!$A$1:$N$250, INT((ROW(A27)-1)/4)*13 + 4, CHOOSE(MOD(ROW(A27)-1,4)+1, 7, 9, 11, 13)))</f>
        <v>4</v>
      </c>
    </row>
    <row r="29" spans="1:7">
      <c r="A29" s="2" t="s">
        <v>65</v>
      </c>
      <c r="B29" s="1" t="s">
        <v>8</v>
      </c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>
        <f>IF(INDEX(Hoja1!$A$1:$N$250, INT((ROW(A28)-1)/4)*13 + 3, CHOOSE(MOD(ROW(A28)-1,4)+1, 7, 9, 11, 13))=0, "", INDEX(Hoja1!$A$1:$N$250, INT((ROW(A28)-1)/4)*13 + 3, CHOOSE(MOD(ROW(A28)-1,4)+1, 7, 9, 11, 13)))</f>
        <v>4</v>
      </c>
      <c r="G29" s="1">
        <f>IF(INDEX(Hoja1!$A$1:$N$250, INT((ROW(A28)-1)/4)*13 + 4, CHOOSE(MOD(ROW(A28)-1,4)+1, 7, 9, 11, 13))=0, "", INDEX(Hoja1!$A$1:$N$250, INT((ROW(A28)-1)/4)*13 + 4, CHOOSE(MOD(ROW(A28)-1,4)+1, 7, 9, 11, 13)))</f>
        <v>1</v>
      </c>
    </row>
    <row r="30" spans="1:7">
      <c r="A30" s="2" t="s">
        <v>66</v>
      </c>
      <c r="B30" s="1" t="s">
        <v>4</v>
      </c>
      <c r="C30" s="1">
        <f>INDEX(Hoja1!$A$1:$N$250, INT((ROW(A29)-1)/4)*13 + 5, CHOOSE(MOD(ROW(A29)-1,4)+1, 8, 10, 12, 14))</f>
        <v>1</v>
      </c>
      <c r="D30" s="1">
        <f>INDEX(Hoja1!$A$1:$N$250, INT((ROW(A29)-1)/4)*13 + 6, CHOOSE(MOD(ROW(A29)-1,4)+1, 8, 10, 12, 14))</f>
        <v>1</v>
      </c>
      <c r="E30" s="1">
        <f>INDEX(Hoja1!$A$1:$N$250, INT((ROW(A29)-1)/4)*13 + 7, CHOOSE(MOD(ROW(A29)-1,4)+1, 8, 10, 12, 14))</f>
        <v>1</v>
      </c>
      <c r="F30" s="1">
        <f>IF(INDEX(Hoja1!$A$1:$N$250, INT((ROW(A29)-1)/4)*13 + 3, CHOOSE(MOD(ROW(A29)-1,4)+1, 7, 9, 11, 13))=0, "", INDEX(Hoja1!$A$1:$N$250, INT((ROW(A29)-1)/4)*13 + 3, CHOOSE(MOD(ROW(A29)-1,4)+1, 7, 9, 11, 13)))</f>
        <v>2</v>
      </c>
      <c r="G30" s="1">
        <f>IF(INDEX(Hoja1!$A$1:$N$250, INT((ROW(A29)-1)/4)*13 + 4, CHOOSE(MOD(ROW(A29)-1,4)+1, 7, 9, 11, 13))=0, "", INDEX(Hoja1!$A$1:$N$250, INT((ROW(A29)-1)/4)*13 + 4, CHOOSE(MOD(ROW(A29)-1,4)+1, 7, 9, 11, 13)))</f>
        <v>1</v>
      </c>
    </row>
    <row r="31" spans="1:7">
      <c r="A31" s="2" t="s">
        <v>66</v>
      </c>
      <c r="B31" s="1" t="s">
        <v>6</v>
      </c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>
        <f>IF(INDEX(Hoja1!$A$1:$N$250, INT((ROW(A30)-1)/4)*13 + 3, CHOOSE(MOD(ROW(A30)-1,4)+1, 7, 9, 11, 13))=0, "", INDEX(Hoja1!$A$1:$N$250, INT((ROW(A30)-1)/4)*13 + 3, CHOOSE(MOD(ROW(A30)-1,4)+1, 7, 9, 11, 13)))</f>
        <v>1</v>
      </c>
      <c r="G31" s="1">
        <f>IF(INDEX(Hoja1!$A$1:$N$250, INT((ROW(A30)-1)/4)*13 + 4, CHOOSE(MOD(ROW(A30)-1,4)+1, 7, 9, 11, 13))=0, "", INDEX(Hoja1!$A$1:$N$250, INT((ROW(A30)-1)/4)*13 + 4, CHOOSE(MOD(ROW(A30)-1,4)+1, 7, 9, 11, 13)))</f>
        <v>2</v>
      </c>
    </row>
    <row r="32" spans="1:7">
      <c r="A32" s="2" t="s">
        <v>66</v>
      </c>
      <c r="B32" s="1" t="s">
        <v>7</v>
      </c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>
        <f>IF(INDEX(Hoja1!$A$1:$N$250, INT((ROW(A31)-1)/4)*13 + 3, CHOOSE(MOD(ROW(A31)-1,4)+1, 7, 9, 11, 13))=0, "", INDEX(Hoja1!$A$1:$N$250, INT((ROW(A31)-1)/4)*13 + 3, CHOOSE(MOD(ROW(A31)-1,4)+1, 7, 9, 11, 13)))</f>
        <v>3</v>
      </c>
      <c r="G32" s="1">
        <f>IF(INDEX(Hoja1!$A$1:$N$250, INT((ROW(A31)-1)/4)*13 + 4, CHOOSE(MOD(ROW(A31)-1,4)+1, 7, 9, 11, 13))=0, "", INDEX(Hoja1!$A$1:$N$250, INT((ROW(A31)-1)/4)*13 + 4, CHOOSE(MOD(ROW(A31)-1,4)+1, 7, 9, 11, 13)))</f>
        <v>4</v>
      </c>
    </row>
    <row r="33" spans="1:7">
      <c r="A33" s="2" t="s">
        <v>66</v>
      </c>
      <c r="B33" s="1" t="s">
        <v>8</v>
      </c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>
        <f>IF(INDEX(Hoja1!$A$1:$N$250, INT((ROW(A32)-1)/4)*13 + 3, CHOOSE(MOD(ROW(A32)-1,4)+1, 7, 9, 11, 13))=0, "", INDEX(Hoja1!$A$1:$N$250, INT((ROW(A32)-1)/4)*13 + 3, CHOOSE(MOD(ROW(A32)-1,4)+1, 7, 9, 11, 13)))</f>
        <v>4</v>
      </c>
      <c r="G33" s="1">
        <f>IF(INDEX(Hoja1!$A$1:$N$250, INT((ROW(A32)-1)/4)*13 + 4, CHOOSE(MOD(ROW(A32)-1,4)+1, 7, 9, 11, 13))=0, "", INDEX(Hoja1!$A$1:$N$250, INT((ROW(A32)-1)/4)*13 + 4, CHOOSE(MOD(ROW(A32)-1,4)+1, 7, 9, 11, 13)))</f>
        <v>3</v>
      </c>
    </row>
    <row r="34" spans="1:7">
      <c r="A34" s="2" t="s">
        <v>67</v>
      </c>
      <c r="B34" s="1" t="s">
        <v>4</v>
      </c>
      <c r="C34" s="1">
        <f>INDEX(Hoja1!$A$1:$N$250, INT((ROW(A33)-1)/4)*13 + 5, CHOOSE(MOD(ROW(A33)-1,4)+1, 8, 10, 12, 14))</f>
        <v>1</v>
      </c>
      <c r="D34" s="1">
        <f>INDEX(Hoja1!$A$1:$N$250, INT((ROW(A33)-1)/4)*13 + 6, CHOOSE(MOD(ROW(A33)-1,4)+1, 8, 10, 12, 14))</f>
        <v>1</v>
      </c>
      <c r="E34" s="1">
        <f>INDEX(Hoja1!$A$1:$N$250, INT((ROW(A33)-1)/4)*13 + 7, CHOOSE(MOD(ROW(A33)-1,4)+1, 8, 10, 12, 14))</f>
        <v>0</v>
      </c>
      <c r="F34" s="1">
        <f>IF(INDEX(Hoja1!$A$1:$N$250, INT((ROW(A33)-1)/4)*13 + 3, CHOOSE(MOD(ROW(A33)-1,4)+1, 7, 9, 11, 13))=0, "", INDEX(Hoja1!$A$1:$N$250, INT((ROW(A33)-1)/4)*13 + 3, CHOOSE(MOD(ROW(A33)-1,4)+1, 7, 9, 11, 13)))</f>
        <v>1</v>
      </c>
      <c r="G34" s="1" t="str">
        <f>IF(INDEX(Hoja1!$A$1:$N$250, INT((ROW(A33)-1)/4)*13 + 4, CHOOSE(MOD(ROW(A33)-1,4)+1, 7, 9, 11, 13))=0, "", INDEX(Hoja1!$A$1:$N$250, INT((ROW(A33)-1)/4)*13 + 4, CHOOSE(MOD(ROW(A33)-1,4)+1, 7, 9, 11, 13)))</f>
        <v/>
      </c>
    </row>
    <row r="35" spans="1:7">
      <c r="A35" s="2" t="s">
        <v>67</v>
      </c>
      <c r="B35" s="1" t="s">
        <v>6</v>
      </c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>
        <f>IF(INDEX(Hoja1!$A$1:$N$250, INT((ROW(A34)-1)/4)*13 + 3, CHOOSE(MOD(ROW(A34)-1,4)+1, 7, 9, 11, 13))=0, "", INDEX(Hoja1!$A$1:$N$250, INT((ROW(A34)-1)/4)*13 + 3, CHOOSE(MOD(ROW(A34)-1,4)+1, 7, 9, 11, 13)))</f>
        <v>3</v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2" t="s">
        <v>67</v>
      </c>
      <c r="B36" s="1" t="s">
        <v>7</v>
      </c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>
        <f>IF(INDEX(Hoja1!$A$1:$N$250, INT((ROW(A35)-1)/4)*13 + 3, CHOOSE(MOD(ROW(A35)-1,4)+1, 7, 9, 11, 13))=0, "", INDEX(Hoja1!$A$1:$N$250, INT((ROW(A35)-1)/4)*13 + 3, CHOOSE(MOD(ROW(A35)-1,4)+1, 7, 9, 11, 13)))</f>
        <v>4</v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2" t="s">
        <v>67</v>
      </c>
      <c r="B37" s="1" t="s">
        <v>8</v>
      </c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>
        <f>IF(INDEX(Hoja1!$A$1:$N$250, INT((ROW(A36)-1)/4)*13 + 3, CHOOSE(MOD(ROW(A36)-1,4)+1, 7, 9, 11, 13))=0, "", INDEX(Hoja1!$A$1:$N$250, INT((ROW(A36)-1)/4)*13 + 3, CHOOSE(MOD(ROW(A36)-1,4)+1, 7, 9, 11, 13)))</f>
        <v>2</v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16"/>
      <c r="B38" s="1" t="s">
        <v>4</v>
      </c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 t="str">
        <f>IF(INDEX(Hoja1!$A$1:$N$250, INT((ROW(A37)-1)/4)*13 + 3, CHOOSE(MOD(ROW(A37)-1,4)+1, 7, 9, 11, 13))=0, "", INDEX(Hoja1!$A$1:$N$250, INT((ROW(A37)-1)/4)*13 + 3, CHOOSE(MOD(ROW(A37)-1,4)+1, 7, 9, 11, 13)))</f>
        <v/>
      </c>
      <c r="G38" s="1" t="str">
        <f>IF(INDEX(Hoja1!$A$1:$N$250, INT((ROW(A37)-1)/4)*13 + 4, CHOOSE(MOD(ROW(A37)-1,4)+1, 7, 9, 11, 13))=0, "", INDEX(Hoja1!$A$1:$N$250, INT((ROW(A37)-1)/4)*13 + 4, CHOOSE(MOD(ROW(A37)-1,4)+1, 7, 9, 11, 13)))</f>
        <v/>
      </c>
    </row>
    <row r="39" spans="1:7">
      <c r="A39" s="116"/>
      <c r="B39" s="1" t="s">
        <v>6</v>
      </c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 t="str">
        <f>IF(INDEX(Hoja1!$A$1:$N$250, INT((ROW(A38)-1)/4)*13 + 3, CHOOSE(MOD(ROW(A38)-1,4)+1, 7, 9, 11, 13))=0, "", INDEX(Hoja1!$A$1:$N$250, INT((ROW(A38)-1)/4)*13 + 3, CHOOSE(MOD(ROW(A38)-1,4)+1, 7, 9, 11, 13)))</f>
        <v/>
      </c>
      <c r="G39" s="1" t="str">
        <f>IF(INDEX(Hoja1!$A$1:$N$250, INT((ROW(A38)-1)/4)*13 + 4, CHOOSE(MOD(ROW(A38)-1,4)+1, 7, 9, 11, 13))=0, "", INDEX(Hoja1!$A$1:$N$250, INT((ROW(A38)-1)/4)*13 + 4, CHOOSE(MOD(ROW(A38)-1,4)+1, 7, 9, 11, 13)))</f>
        <v/>
      </c>
    </row>
    <row r="40" spans="1:7">
      <c r="A40" s="116"/>
      <c r="B40" s="1" t="s">
        <v>7</v>
      </c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16"/>
      <c r="B41" s="1" t="s">
        <v>8</v>
      </c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1"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O13" sqref="O13"/>
    </sheetView>
  </sheetViews>
  <sheetFormatPr defaultColWidth="11.42578125" defaultRowHeight="15"/>
  <cols>
    <col min="1" max="1" width="18.7109375" bestFit="1" customWidth="1"/>
    <col min="2" max="2" width="10.7109375" bestFit="1" customWidth="1"/>
    <col min="3" max="3" width="6.28515625" bestFit="1" customWidth="1"/>
    <col min="4" max="5" width="12.5703125" bestFit="1" customWidth="1"/>
    <col min="6" max="6" width="14" bestFit="1" customWidth="1"/>
  </cols>
  <sheetData>
    <row r="1" spans="1:6">
      <c r="A1" s="53" t="s">
        <v>46</v>
      </c>
      <c r="B1" s="1" t="s">
        <v>73</v>
      </c>
      <c r="C1" s="1"/>
      <c r="D1" s="1"/>
      <c r="E1" s="1"/>
      <c r="F1" s="1"/>
    </row>
    <row r="3" spans="1:6">
      <c r="A3" s="53" t="s">
        <v>74</v>
      </c>
      <c r="B3" s="106" t="s">
        <v>75</v>
      </c>
      <c r="C3" s="106" t="s">
        <v>76</v>
      </c>
      <c r="D3" s="106" t="s">
        <v>77</v>
      </c>
      <c r="E3" s="106" t="s">
        <v>78</v>
      </c>
      <c r="F3" s="1" t="s">
        <v>79</v>
      </c>
    </row>
    <row r="4" spans="1:6">
      <c r="A4" s="54" t="s">
        <v>4</v>
      </c>
      <c r="B4" s="55">
        <v>5</v>
      </c>
      <c r="C4" s="55">
        <v>4</v>
      </c>
      <c r="D4" s="56">
        <v>2</v>
      </c>
      <c r="E4" s="56">
        <v>1.6666666666666667</v>
      </c>
      <c r="F4" s="55">
        <v>7</v>
      </c>
    </row>
    <row r="5" spans="1:6">
      <c r="A5" s="54" t="s">
        <v>8</v>
      </c>
      <c r="B5" s="55">
        <v>1</v>
      </c>
      <c r="C5" s="55">
        <v>1</v>
      </c>
      <c r="D5" s="56">
        <v>2.7777777777777777</v>
      </c>
      <c r="E5" s="56">
        <v>2.75</v>
      </c>
      <c r="F5" s="55">
        <v>0</v>
      </c>
    </row>
    <row r="6" spans="1:6">
      <c r="A6" s="54" t="s">
        <v>7</v>
      </c>
      <c r="B6" s="55">
        <v>0</v>
      </c>
      <c r="C6" s="55">
        <v>0</v>
      </c>
      <c r="D6" s="56">
        <v>3.3333333333333335</v>
      </c>
      <c r="E6" s="56">
        <v>3.625</v>
      </c>
      <c r="F6" s="55">
        <v>0</v>
      </c>
    </row>
    <row r="7" spans="1:6">
      <c r="A7" s="54" t="s">
        <v>6</v>
      </c>
      <c r="B7" s="55">
        <v>3</v>
      </c>
      <c r="C7" s="55">
        <v>4</v>
      </c>
      <c r="D7" s="56">
        <v>2</v>
      </c>
      <c r="E7" s="56">
        <v>1.875</v>
      </c>
      <c r="F7" s="55">
        <v>2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4"/>
  <sheetViews>
    <sheetView tabSelected="1" topLeftCell="A11" workbookViewId="0">
      <selection activeCell="B29" sqref="B29:B31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1" s="1" customFormat="1">
      <c r="C1" s="1" t="s">
        <v>4</v>
      </c>
      <c r="D1" s="1" t="s">
        <v>80</v>
      </c>
      <c r="E1" s="1" t="s">
        <v>7</v>
      </c>
      <c r="F1" s="1" t="s">
        <v>8</v>
      </c>
    </row>
    <row r="2" spans="1:11">
      <c r="A2" s="107" t="s">
        <v>2</v>
      </c>
      <c r="B2" s="1" t="s">
        <v>81</v>
      </c>
      <c r="C2" s="58">
        <v>1.0631828703703704E-3</v>
      </c>
      <c r="D2" s="58">
        <v>1.0551736111111111E-3</v>
      </c>
      <c r="E2" s="58"/>
      <c r="F2" s="58">
        <v>1.0732986111111112E-3</v>
      </c>
      <c r="G2" s="58"/>
      <c r="H2" s="1"/>
      <c r="I2" s="1"/>
      <c r="J2" s="1"/>
      <c r="K2" s="1"/>
    </row>
    <row r="3" spans="1:11">
      <c r="A3" s="107"/>
      <c r="B3" s="1" t="s">
        <v>82</v>
      </c>
      <c r="C3" s="58">
        <v>1.0327314814814815E-3</v>
      </c>
      <c r="D3" s="58">
        <v>1.0405092592592593E-3</v>
      </c>
      <c r="E3" s="58">
        <v>1.0671296296296297E-3</v>
      </c>
      <c r="F3" s="58">
        <v>1.0451388888888889E-3</v>
      </c>
      <c r="G3" s="58"/>
      <c r="H3" s="1"/>
      <c r="I3" s="1"/>
      <c r="J3" s="1"/>
      <c r="K3" s="1"/>
    </row>
    <row r="4" spans="1:11">
      <c r="A4" s="107"/>
      <c r="B4" s="1" t="s">
        <v>83</v>
      </c>
      <c r="C4" s="58">
        <v>1.0267824074074075E-3</v>
      </c>
      <c r="D4" s="58">
        <v>1.031550925925926E-3</v>
      </c>
      <c r="E4" s="58">
        <v>1.0496759259259259E-3</v>
      </c>
      <c r="F4" s="58">
        <v>1.0316435185185185E-3</v>
      </c>
      <c r="G4" s="58"/>
      <c r="H4" s="1"/>
      <c r="I4" s="1"/>
      <c r="J4" s="1"/>
      <c r="K4" s="1"/>
    </row>
    <row r="5" spans="1:11">
      <c r="A5" s="107" t="s">
        <v>15</v>
      </c>
      <c r="B5" s="1" t="s">
        <v>81</v>
      </c>
      <c r="C5" s="58"/>
      <c r="D5" s="58"/>
      <c r="E5" s="58"/>
      <c r="F5" s="58"/>
      <c r="G5" s="58"/>
      <c r="H5" s="58"/>
      <c r="I5" s="58"/>
      <c r="J5" s="1"/>
      <c r="K5" s="1"/>
    </row>
    <row r="6" spans="1:11">
      <c r="A6" s="107"/>
      <c r="B6" s="1" t="s">
        <v>82</v>
      </c>
      <c r="C6" s="58"/>
      <c r="D6" s="58"/>
      <c r="E6" s="58"/>
      <c r="F6" s="58"/>
      <c r="G6" s="58"/>
      <c r="H6" s="58"/>
      <c r="I6" s="58"/>
      <c r="J6" s="1"/>
      <c r="K6" s="1"/>
    </row>
    <row r="7" spans="1:11">
      <c r="A7" s="107"/>
      <c r="B7" s="1" t="s">
        <v>83</v>
      </c>
      <c r="C7" s="58"/>
      <c r="D7" s="58"/>
      <c r="E7" s="58"/>
      <c r="F7" s="58"/>
      <c r="G7" s="58"/>
      <c r="H7" s="58"/>
      <c r="I7" s="58"/>
      <c r="J7" s="1"/>
      <c r="K7" s="1"/>
    </row>
    <row r="8" spans="1:11">
      <c r="A8" s="107" t="s">
        <v>18</v>
      </c>
      <c r="B8" s="1" t="s">
        <v>81</v>
      </c>
      <c r="C8" s="58"/>
      <c r="D8" s="58"/>
      <c r="E8" s="58"/>
      <c r="F8" s="58"/>
      <c r="G8" s="58"/>
      <c r="H8" s="58"/>
      <c r="I8" s="58"/>
      <c r="J8" s="73"/>
      <c r="K8" s="1"/>
    </row>
    <row r="9" spans="1:11">
      <c r="A9" s="107"/>
      <c r="B9" s="1" t="s">
        <v>82</v>
      </c>
      <c r="C9" s="58"/>
      <c r="D9" s="58"/>
      <c r="E9" s="58"/>
      <c r="F9" s="58"/>
      <c r="G9" s="58"/>
      <c r="H9" s="58"/>
      <c r="I9" s="58"/>
      <c r="J9" s="1"/>
      <c r="K9" s="1"/>
    </row>
    <row r="10" spans="1:11">
      <c r="A10" s="107"/>
      <c r="B10" s="1" t="s">
        <v>83</v>
      </c>
      <c r="C10" s="58">
        <v>8.9045138888888887E-4</v>
      </c>
      <c r="D10" s="58">
        <v>8.8951388888888891E-4</v>
      </c>
      <c r="E10" s="58">
        <v>9.0712962962962969E-4</v>
      </c>
      <c r="F10" s="58">
        <v>9.0637731481481494E-4</v>
      </c>
      <c r="G10" s="58"/>
      <c r="H10" s="58"/>
      <c r="I10" s="73"/>
      <c r="J10" s="1"/>
      <c r="K10" s="1"/>
    </row>
    <row r="11" spans="1:11">
      <c r="A11" s="107" t="s">
        <v>21</v>
      </c>
      <c r="B11" s="1" t="s">
        <v>81</v>
      </c>
      <c r="C11" s="58">
        <v>8.6745370370370383E-4</v>
      </c>
      <c r="D11" s="58">
        <v>8.6916666666666674E-4</v>
      </c>
      <c r="E11" s="58">
        <v>8.8465277777777772E-4</v>
      </c>
      <c r="F11" s="58">
        <v>8.826504629629629E-4</v>
      </c>
      <c r="G11" s="58"/>
      <c r="H11" s="58"/>
      <c r="I11" s="58"/>
      <c r="J11" s="1"/>
      <c r="K11" s="1"/>
    </row>
    <row r="12" spans="1:11">
      <c r="A12" s="107"/>
      <c r="B12" s="1" t="s">
        <v>82</v>
      </c>
      <c r="C12" s="58"/>
      <c r="D12" s="58"/>
      <c r="E12" s="58"/>
      <c r="F12" s="58"/>
      <c r="G12" s="58"/>
      <c r="H12" s="58"/>
      <c r="I12" s="58"/>
      <c r="J12" s="1"/>
      <c r="K12" s="1"/>
    </row>
    <row r="13" spans="1:11">
      <c r="A13" s="107"/>
      <c r="B13" s="1" t="s">
        <v>83</v>
      </c>
      <c r="C13" s="58"/>
      <c r="D13" s="58"/>
      <c r="E13" s="58"/>
      <c r="F13" s="58"/>
      <c r="G13" s="58"/>
      <c r="H13" s="58"/>
      <c r="I13" s="58"/>
      <c r="J13" s="1"/>
      <c r="K13" s="1"/>
    </row>
    <row r="14" spans="1:11">
      <c r="A14" s="107" t="s">
        <v>63</v>
      </c>
      <c r="B14" s="1" t="s">
        <v>81</v>
      </c>
      <c r="C14" s="58">
        <v>8.2178240740740736E-4</v>
      </c>
      <c r="D14" s="58">
        <v>8.2130787037037036E-4</v>
      </c>
      <c r="E14" s="58">
        <v>8.5228009259259263E-4</v>
      </c>
      <c r="F14" s="58">
        <v>8.3498842592592598E-4</v>
      </c>
      <c r="G14" s="58"/>
      <c r="H14" s="1" cm="1">
        <f t="array" ref="H14">IFERROR(AVERAGE(IF(($B$2:$B$46="Clasificacion")*(C$2:C$46&gt;0),C$2:C$46)),0)</f>
        <v>1.0306134259259259E-3</v>
      </c>
      <c r="I14" s="1" cm="1">
        <f t="array" ref="I14">IFERROR(AVERAGE(IF(($B$2:$B$46="Clasificacion")*(D$2:D$46&gt;0),D$2:D$46)),0)</f>
        <v>1.0054070216049384E-3</v>
      </c>
      <c r="J14" s="1">
        <f t="array" ref="J14">IFERROR(AVERAGE(IF(($B$2:$B$46="Clasificacion")*(E$2:E$46&gt;0),E$2:E$46)),0)</f>
        <v>1.0664583333333333E-3</v>
      </c>
      <c r="K14" s="1">
        <f t="array" ref="K14">IFERROR(AVERAGE(IF(($B$2:$B$46="Clasificacion")*(F$2:F$46&gt;0),F$2:F$46)),0)</f>
        <v>1.0595072751322751E-3</v>
      </c>
    </row>
    <row r="15" spans="1:11">
      <c r="A15" s="107"/>
      <c r="B15" s="1" t="s">
        <v>82</v>
      </c>
      <c r="C15" s="58">
        <v>8.1365740740740736E-4</v>
      </c>
      <c r="D15" s="58">
        <v>8.1712962962962978E-4</v>
      </c>
      <c r="E15" s="58"/>
      <c r="F15" s="58">
        <v>8.1481481481481476E-4</v>
      </c>
      <c r="G15" s="58"/>
      <c r="H15" s="1" cm="1">
        <f t="array" ref="H15">IFERROR(AVERAGE(IF(($B$2:$B$46="VR Carrera 1")*(C$2:C$46&gt;0),C$2:C$46)),0)</f>
        <v>1.0466338734567901E-3</v>
      </c>
      <c r="I15" s="1" cm="1">
        <f t="array" ref="I15">IFERROR(AVERAGE(IF(($B$2:$B$46="VR Carrera 1")*(D$2:D$46&gt;0),D$2:D$46)),0)</f>
        <v>1.0254629629629628E-3</v>
      </c>
      <c r="J15" s="1">
        <f t="shared" ref="J15" si="0">IFERROR(AVERAGE(IF(($B$2:$B$46="VR Carrera 1")*(E$2:E$46&gt;0),E$2:E$46)),0)</f>
        <v>0</v>
      </c>
      <c r="K15" s="1" cm="1">
        <f t="array" ref="K15">IFERROR(AVERAGE(IF(($B$2:$B$46="VR Carrera 1")*(F$2:F$46&gt;0),F$2:F$46)),0)</f>
        <v>1.0608989197530864E-3</v>
      </c>
    </row>
    <row r="16" spans="1:11">
      <c r="A16" s="107"/>
      <c r="B16" s="1" t="s">
        <v>83</v>
      </c>
      <c r="C16" s="58">
        <v>8.0902777777777787E-4</v>
      </c>
      <c r="D16" s="58">
        <v>8.1712962962962978E-4</v>
      </c>
      <c r="E16" s="58"/>
      <c r="F16" s="58">
        <v>8.0555555555555545E-4</v>
      </c>
      <c r="G16" s="58"/>
      <c r="H16" s="1">
        <f t="array" ref="H16">IFERROR(AVERAGE(IF(($B$2:$B$46="VR Carrera 2")*(C$2:C$46&gt;0),C$2:C$46)),0)</f>
        <v>1.0007484567901234E-3</v>
      </c>
      <c r="I16" s="1">
        <f t="array" ref="I16">IFERROR(AVERAGE(IF(($B$2:$B$46="VR Carrera 2")*(D$2:D$46&gt;0),D$2:D$46)),0)</f>
        <v>9.983506944444445E-4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1.0082754629629632E-3</v>
      </c>
    </row>
    <row r="17" spans="1:16">
      <c r="A17" s="107" t="s">
        <v>64</v>
      </c>
      <c r="B17" s="1" t="s">
        <v>81</v>
      </c>
      <c r="C17" s="58">
        <v>9.2799768518518524E-4</v>
      </c>
      <c r="D17" s="58">
        <v>9.2827546296296299E-4</v>
      </c>
      <c r="E17" s="58">
        <v>9.9460648148148151E-4</v>
      </c>
      <c r="F17" s="58">
        <v>9.6276620370370364E-4</v>
      </c>
      <c r="G17" s="58"/>
      <c r="H17" s="58"/>
      <c r="I17" s="58"/>
      <c r="J17" s="1"/>
      <c r="K17" s="1"/>
      <c r="L17" s="1"/>
      <c r="M17" s="1"/>
      <c r="N17" s="1"/>
      <c r="O17" s="1"/>
      <c r="P17" s="1"/>
    </row>
    <row r="18" spans="1:16">
      <c r="A18" s="107"/>
      <c r="B18" s="1" t="s">
        <v>82</v>
      </c>
      <c r="C18" s="58">
        <v>9.2737268518518516E-4</v>
      </c>
      <c r="D18" s="58">
        <v>9.2644675925925924E-4</v>
      </c>
      <c r="E18" s="58">
        <v>9.5516203703703703E-4</v>
      </c>
      <c r="F18" s="58">
        <v>9.3399305555555553E-4</v>
      </c>
      <c r="G18" s="58"/>
      <c r="H18" s="58"/>
      <c r="I18" s="58"/>
      <c r="J18" s="1"/>
      <c r="K18" s="1"/>
      <c r="L18" s="1"/>
      <c r="M18" s="1"/>
      <c r="N18" s="1"/>
      <c r="O18" s="1"/>
      <c r="P18" s="74"/>
    </row>
    <row r="19" spans="1:16">
      <c r="A19" s="107"/>
      <c r="B19" s="1" t="s">
        <v>83</v>
      </c>
      <c r="C19" s="58">
        <v>9.2612268518518521E-4</v>
      </c>
      <c r="D19" s="58">
        <v>9.2501157407407408E-4</v>
      </c>
      <c r="E19" s="58">
        <v>9.6494212962962972E-4</v>
      </c>
      <c r="F19" s="58">
        <v>9.4184027777777766E-4</v>
      </c>
      <c r="G19" s="58"/>
      <c r="H19" s="58"/>
      <c r="I19" s="58"/>
      <c r="J19" s="1"/>
      <c r="K19" s="1"/>
      <c r="L19" s="1"/>
      <c r="M19" s="1"/>
      <c r="N19" s="1"/>
      <c r="O19" s="1"/>
      <c r="P19" s="1"/>
    </row>
    <row r="20" spans="1:16">
      <c r="A20" s="107" t="s">
        <v>65</v>
      </c>
      <c r="B20" s="1" t="s">
        <v>81</v>
      </c>
      <c r="C20" s="58">
        <v>1.2464004629629628E-3</v>
      </c>
      <c r="D20" s="58">
        <v>1.249548611111111E-3</v>
      </c>
      <c r="E20" s="58">
        <v>1.269513888888889E-3</v>
      </c>
      <c r="F20" s="58">
        <v>1.2887037037037036E-3</v>
      </c>
      <c r="G20" s="58"/>
      <c r="H20" s="58"/>
      <c r="I20" s="58"/>
      <c r="J20" s="1"/>
      <c r="K20" s="1"/>
      <c r="L20" s="1"/>
      <c r="M20" s="1"/>
      <c r="N20" s="1"/>
      <c r="O20" s="1"/>
      <c r="P20" s="1"/>
    </row>
    <row r="21" spans="1:16">
      <c r="A21" s="107"/>
      <c r="B21" s="1" t="s">
        <v>82</v>
      </c>
      <c r="C21" s="58">
        <v>1.2324652777777779E-3</v>
      </c>
      <c r="D21" s="58">
        <v>1.2333912037037038E-3</v>
      </c>
      <c r="E21" s="58"/>
      <c r="F21" s="58">
        <v>1.2505787037037036E-3</v>
      </c>
      <c r="G21" s="58"/>
      <c r="H21" s="58"/>
      <c r="I21" s="58"/>
      <c r="J21" s="1"/>
      <c r="K21" s="1"/>
      <c r="L21" s="1"/>
      <c r="M21" s="1"/>
      <c r="N21" s="1"/>
      <c r="O21" s="1"/>
      <c r="P21" s="1"/>
    </row>
    <row r="22" spans="1:16">
      <c r="A22" s="107"/>
      <c r="B22" s="1" t="s">
        <v>83</v>
      </c>
      <c r="C22" s="58">
        <v>1.2377777777777777E-3</v>
      </c>
      <c r="D22" s="58">
        <v>1.2310648148148148E-3</v>
      </c>
      <c r="E22" s="58"/>
      <c r="F22" s="58">
        <v>1.2403703703703704E-3</v>
      </c>
      <c r="G22" s="58"/>
      <c r="H22" s="58"/>
      <c r="I22" s="58"/>
      <c r="J22" s="1"/>
      <c r="K22" s="1"/>
      <c r="L22" s="1"/>
      <c r="M22" s="1"/>
      <c r="N22" s="1"/>
      <c r="O22" s="1"/>
      <c r="P22" s="1"/>
    </row>
    <row r="23" spans="1:16">
      <c r="A23" s="107" t="s">
        <v>66</v>
      </c>
      <c r="B23" s="1" t="s">
        <v>81</v>
      </c>
      <c r="C23" s="58">
        <v>1.0980555555555555E-3</v>
      </c>
      <c r="D23" s="58">
        <v>1.1089699074074075E-3</v>
      </c>
      <c r="E23" s="58">
        <v>1.1314467592592593E-3</v>
      </c>
      <c r="F23" s="58">
        <v>1.1593287037037036E-3</v>
      </c>
      <c r="G23" s="58"/>
      <c r="H23" s="58"/>
      <c r="I23" s="58"/>
      <c r="J23" s="1"/>
      <c r="K23" s="1"/>
      <c r="L23" s="1"/>
      <c r="M23" s="1"/>
      <c r="N23" s="1"/>
      <c r="O23" s="1"/>
      <c r="P23" s="1"/>
    </row>
    <row r="24" spans="1:16">
      <c r="A24" s="107"/>
      <c r="B24" s="1" t="s">
        <v>82</v>
      </c>
      <c r="C24" s="131">
        <v>1.0967939814814816E-3</v>
      </c>
      <c r="D24" s="131">
        <v>1.1098379629629629E-3</v>
      </c>
      <c r="E24" s="131">
        <v>1.1312268518518518E-3</v>
      </c>
      <c r="F24" s="131">
        <v>1.1312268518518518E-3</v>
      </c>
      <c r="G24" s="58"/>
      <c r="H24" s="58"/>
      <c r="I24" s="58"/>
      <c r="J24" s="1"/>
      <c r="K24" s="1"/>
      <c r="L24" s="1"/>
      <c r="M24" s="1"/>
      <c r="N24" s="1"/>
      <c r="O24" s="1"/>
      <c r="P24" s="1"/>
    </row>
    <row r="25" spans="1:16">
      <c r="A25" s="107"/>
      <c r="B25" s="1" t="s">
        <v>83</v>
      </c>
      <c r="C25" s="58">
        <v>1.1143287037037035E-3</v>
      </c>
      <c r="D25" s="58">
        <v>1.0958333333333334E-3</v>
      </c>
      <c r="E25" s="58">
        <v>1.1238657407407408E-3</v>
      </c>
      <c r="F25" s="58">
        <v>1.1238657407407408E-3</v>
      </c>
      <c r="G25" s="58"/>
      <c r="H25" s="58"/>
      <c r="I25" s="58"/>
      <c r="J25" s="1"/>
      <c r="K25" s="1"/>
      <c r="L25" s="1"/>
      <c r="M25" s="1"/>
      <c r="N25" s="1"/>
      <c r="O25" s="1"/>
      <c r="P25" s="1"/>
    </row>
    <row r="26" spans="1:16">
      <c r="A26" s="107" t="s">
        <v>67</v>
      </c>
      <c r="B26" s="1" t="s">
        <v>81</v>
      </c>
      <c r="C26" s="58">
        <v>1.1894212962962963E-3</v>
      </c>
      <c r="D26" s="58"/>
      <c r="E26" s="58">
        <v>1.26625E-3</v>
      </c>
      <c r="F26" s="58">
        <v>1.2148148148148148E-3</v>
      </c>
      <c r="G26" s="58"/>
      <c r="H26" s="58"/>
      <c r="I26" s="58"/>
      <c r="J26" s="1"/>
      <c r="K26" s="1"/>
      <c r="L26" s="1"/>
      <c r="M26" s="1"/>
      <c r="N26" s="1"/>
      <c r="O26" s="1"/>
      <c r="P26" s="1"/>
    </row>
    <row r="27" spans="1:16">
      <c r="A27" s="107"/>
      <c r="B27" s="1" t="s">
        <v>82</v>
      </c>
      <c r="C27" s="58">
        <v>1.1767824074074074E-3</v>
      </c>
      <c r="D27" s="58"/>
      <c r="E27" s="58"/>
      <c r="F27" s="58">
        <v>1.1896412037037036E-3</v>
      </c>
      <c r="G27" s="58"/>
      <c r="H27" s="58"/>
      <c r="I27" s="58"/>
      <c r="J27" s="1"/>
      <c r="K27" s="1"/>
      <c r="L27" s="1"/>
      <c r="M27" s="1"/>
      <c r="N27" s="1"/>
      <c r="O27" s="1"/>
      <c r="P27" s="1"/>
    </row>
    <row r="28" spans="1:16">
      <c r="A28" s="107"/>
      <c r="B28" s="1" t="s">
        <v>83</v>
      </c>
      <c r="C28" s="58"/>
      <c r="D28" s="58"/>
      <c r="E28" s="58"/>
      <c r="F28" s="58"/>
      <c r="G28" s="58"/>
      <c r="H28" s="58"/>
      <c r="I28" s="58"/>
      <c r="J28" s="1"/>
      <c r="K28" s="1"/>
      <c r="L28" s="1"/>
      <c r="M28" s="1"/>
      <c r="N28" s="1"/>
      <c r="O28" s="1"/>
      <c r="P28" s="1"/>
    </row>
    <row r="29" spans="1:16">
      <c r="A29" s="107" t="s">
        <v>21</v>
      </c>
      <c r="B29" s="1" t="s">
        <v>81</v>
      </c>
      <c r="C29" s="58" t="s">
        <v>84</v>
      </c>
      <c r="D29" s="58" t="s">
        <v>85</v>
      </c>
      <c r="E29" s="58" t="s">
        <v>86</v>
      </c>
      <c r="F29" s="58" t="s">
        <v>87</v>
      </c>
      <c r="G29" s="58" t="s">
        <v>88</v>
      </c>
      <c r="H29" s="58" t="s">
        <v>89</v>
      </c>
      <c r="I29" s="58"/>
      <c r="J29" s="1"/>
      <c r="K29" s="1"/>
      <c r="L29" s="1"/>
      <c r="M29" s="1"/>
      <c r="N29" s="1"/>
      <c r="O29" s="1"/>
      <c r="P29" s="1"/>
    </row>
    <row r="30" spans="1:16">
      <c r="A30" s="107"/>
      <c r="B30" s="1" t="s">
        <v>82</v>
      </c>
      <c r="C30" s="58"/>
      <c r="D30" s="58"/>
      <c r="E30" s="58"/>
      <c r="F30" s="58"/>
      <c r="G30" s="58"/>
      <c r="H30" s="58"/>
      <c r="I30" s="58"/>
      <c r="J30" s="1"/>
      <c r="K30" s="1"/>
      <c r="L30" s="1"/>
      <c r="M30" s="1"/>
      <c r="N30" s="1"/>
      <c r="O30" s="1"/>
      <c r="P30" s="1"/>
    </row>
    <row r="31" spans="1:16">
      <c r="A31" s="107"/>
      <c r="B31" s="1" t="s">
        <v>83</v>
      </c>
      <c r="C31" s="1" t="s">
        <v>90</v>
      </c>
      <c r="D31" s="1" t="s">
        <v>91</v>
      </c>
      <c r="E31" s="1" t="s">
        <v>92</v>
      </c>
      <c r="F31" s="1" t="s">
        <v>93</v>
      </c>
      <c r="G31" s="1" t="s">
        <v>94</v>
      </c>
      <c r="H31" s="1" t="s">
        <v>95</v>
      </c>
      <c r="I31" s="58"/>
      <c r="J31" s="1"/>
      <c r="K31" s="1"/>
      <c r="L31" s="1"/>
      <c r="M31" s="1"/>
      <c r="N31" s="1"/>
      <c r="O31" s="1"/>
      <c r="P31" s="1"/>
    </row>
    <row r="32" spans="1:16">
      <c r="A32" s="107" t="s">
        <v>96</v>
      </c>
      <c r="B32" s="1" t="s">
        <v>81</v>
      </c>
      <c r="C32" s="58" t="s">
        <v>84</v>
      </c>
      <c r="D32" s="58" t="s">
        <v>85</v>
      </c>
      <c r="E32" s="58" t="s">
        <v>86</v>
      </c>
      <c r="F32" s="58" t="s">
        <v>87</v>
      </c>
      <c r="G32" s="58" t="s">
        <v>88</v>
      </c>
      <c r="H32" s="58" t="s">
        <v>89</v>
      </c>
      <c r="I32" s="1"/>
      <c r="J32" s="1"/>
      <c r="K32" s="1"/>
      <c r="L32" s="1"/>
      <c r="M32" s="1"/>
      <c r="N32" s="1"/>
      <c r="O32" s="1"/>
      <c r="P32" s="1"/>
    </row>
    <row r="33" spans="1:2">
      <c r="A33" s="107"/>
      <c r="B33" s="1" t="s">
        <v>82</v>
      </c>
    </row>
    <row r="34" spans="1:2">
      <c r="A34" s="107"/>
      <c r="B34" s="1" t="s">
        <v>83</v>
      </c>
    </row>
  </sheetData>
  <mergeCells count="11">
    <mergeCell ref="A32:A34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2"/>
  <sheetViews>
    <sheetView zoomScale="85" zoomScaleNormal="85" workbookViewId="0">
      <pane xSplit="1" ySplit="1" topLeftCell="B12" activePane="bottomRight" state="frozen"/>
      <selection pane="bottomRight" activeCell="H36" sqref="H36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6">
      <c r="A1" s="1"/>
      <c r="B1" s="1"/>
      <c r="C1" s="72" t="s">
        <v>4</v>
      </c>
      <c r="D1" s="59" t="s">
        <v>6</v>
      </c>
      <c r="E1" s="64" t="s">
        <v>7</v>
      </c>
      <c r="F1" s="59" t="s">
        <v>8</v>
      </c>
      <c r="G1" s="1"/>
      <c r="H1" s="1"/>
      <c r="I1" s="1" t="s">
        <v>97</v>
      </c>
      <c r="J1" s="1" t="s">
        <v>4</v>
      </c>
      <c r="K1" s="1" t="s">
        <v>6</v>
      </c>
      <c r="L1" s="1" t="s">
        <v>8</v>
      </c>
      <c r="M1" s="1"/>
      <c r="N1" s="1"/>
      <c r="O1" s="1"/>
      <c r="P1" s="1"/>
    </row>
    <row r="2" spans="1:16">
      <c r="A2" s="121" t="s">
        <v>2</v>
      </c>
      <c r="B2" s="64" t="s">
        <v>81</v>
      </c>
      <c r="C2" s="69">
        <f>+IF('Carga Tiempos'!C2=MIN('Carga Tiempos'!$C2:$F2),'Carga Tiempos'!C2,'Carga Tiempos'!C2-MIN('Carga Tiempos'!$C2:$F2))</f>
        <v>8.0092592592592542E-6</v>
      </c>
      <c r="D2" s="68">
        <f>+IF('Carga Tiempos'!D2=MIN('Carga Tiempos'!$C2:$F2),'Carga Tiempos'!D2,'Carga Tiempos'!D2-MIN('Carga Tiempos'!$C2:$F2))</f>
        <v>1.0551736111111111E-3</v>
      </c>
      <c r="E2" s="63">
        <f>+IF('Carga Tiempos'!E2=MIN('Carga Tiempos'!$C2:$F2),'Carga Tiempos'!E2,'Carga Tiempos'!E2-MIN('Carga Tiempos'!$C2:$F2))</f>
        <v>-1.0551736111111111E-3</v>
      </c>
      <c r="F2" s="68">
        <f>+IF('Carga Tiempos'!F2=MIN('Carga Tiempos'!$C2:$F2),'Carga Tiempos'!F2,'Carga Tiempos'!F2-MIN('Carga Tiempos'!$C2:$F2))</f>
        <v>1.8125000000000129E-5</v>
      </c>
      <c r="G2" s="58"/>
      <c r="H2" s="1"/>
      <c r="I2" s="1" t="s">
        <v>43</v>
      </c>
      <c r="J2" s="1">
        <f>IF('Carga Tiempos'!H14=MIN('Carga Tiempos'!$H14,'Carga Tiempos'!$I14,'Carga Tiempos'!$K14),0,'Carga Tiempos'!H14-MIN('Carga Tiempos'!$H14,'Carga Tiempos'!$I14,'Carga Tiempos'!$K14))</f>
        <v>2.5206404320987554E-5</v>
      </c>
      <c r="K2" s="1">
        <f>IF('Carga Tiempos'!I14=MIN('Carga Tiempos'!$H14,'Carga Tiempos'!$I14,'Carga Tiempos'!$K14),0,'Carga Tiempos'!I14-MIN('Carga Tiempos'!$H14,'Carga Tiempos'!$I14,'Carga Tiempos'!$K14))</f>
        <v>0</v>
      </c>
      <c r="L2" s="1">
        <f>IF('Carga Tiempos'!K14=MIN('Carga Tiempos'!$H14,'Carga Tiempos'!$I14,'Carga Tiempos'!$K14),0,'Carga Tiempos'!K14-MIN('Carga Tiempos'!$H14,'Carga Tiempos'!$I14,'Carga Tiempos'!$K14))</f>
        <v>5.4100253527336779E-5</v>
      </c>
      <c r="M2" s="1"/>
      <c r="N2" s="1"/>
      <c r="O2" s="1"/>
      <c r="P2" s="1"/>
    </row>
    <row r="3" spans="1:16">
      <c r="A3" s="122"/>
      <c r="B3" s="62" t="s">
        <v>82</v>
      </c>
      <c r="C3" s="69">
        <f>+IF('Carga Tiempos'!C3=MIN('Carga Tiempos'!$C3:$F3),'Carga Tiempos'!C3,'Carga Tiempos'!C3-MIN('Carga Tiempos'!$C3:$F3))</f>
        <v>1.0327314814814815E-3</v>
      </c>
      <c r="D3" s="69">
        <f>+IF('Carga Tiempos'!D3=MIN('Carga Tiempos'!$C3:$F3),'Carga Tiempos'!D3,'Carga Tiempos'!D3-MIN('Carga Tiempos'!$C3:$F3))</f>
        <v>7.7777777777777741E-6</v>
      </c>
      <c r="E3" s="69">
        <f>+IF('Carga Tiempos'!E3=MIN('Carga Tiempos'!$C3:$F3),'Carga Tiempos'!E3,'Carga Tiempos'!E3-MIN('Carga Tiempos'!$C3:$F3))</f>
        <v>3.43981481481482E-5</v>
      </c>
      <c r="F3" s="68">
        <f>+IF('Carga Tiempos'!F3=MIN('Carga Tiempos'!$C3:$F3),'Carga Tiempos'!F3,'Carga Tiempos'!F3-MIN('Carga Tiempos'!$C3:$F3))</f>
        <v>1.2407407407407376E-5</v>
      </c>
      <c r="G3" s="58"/>
      <c r="H3" s="1"/>
      <c r="I3" s="1" t="s">
        <v>51</v>
      </c>
      <c r="J3" s="1">
        <f>IF('Carga Tiempos'!H15=MIN('Carga Tiempos'!$H15,'Carga Tiempos'!$I15,'Carga Tiempos'!$K15),0,'Carga Tiempos'!H15-MIN('Carga Tiempos'!$H15,'Carga Tiempos'!$I15,'Carga Tiempos'!$K15))</f>
        <v>2.1170910493827294E-5</v>
      </c>
      <c r="K3" s="58">
        <f>IF('Carga Tiempos'!I15=MIN('Carga Tiempos'!$H15,'Carga Tiempos'!$I15,'Carga Tiempos'!$K15),0,'Carga Tiempos'!I15-MIN('Carga Tiempos'!$H15,'Carga Tiempos'!$I15,'Carga Tiempos'!$K15))</f>
        <v>0</v>
      </c>
      <c r="L3" s="1">
        <f>IF('Carga Tiempos'!K15=MIN('Carga Tiempos'!$H15,'Carga Tiempos'!$I15,'Carga Tiempos'!$K15),0,'Carga Tiempos'!K15-MIN('Carga Tiempos'!$H15,'Carga Tiempos'!$I15,'Carga Tiempos'!$K15))</f>
        <v>3.5435956790123586E-5</v>
      </c>
      <c r="M3" s="1"/>
      <c r="N3" s="1"/>
      <c r="O3" s="1"/>
      <c r="P3" s="1"/>
    </row>
    <row r="4" spans="1:16">
      <c r="A4" s="122"/>
      <c r="B4" s="62" t="s">
        <v>83</v>
      </c>
      <c r="C4" s="69">
        <f>+IF('Carga Tiempos'!C4=MIN('Carga Tiempos'!$C4:$F4),'Carga Tiempos'!C4,'Carga Tiempos'!C4-MIN('Carga Tiempos'!$C4:$F4))</f>
        <v>1.0267824074074075E-3</v>
      </c>
      <c r="D4" s="69">
        <f>+IF('Carga Tiempos'!D4=MIN('Carga Tiempos'!$C4:$F4),'Carga Tiempos'!D4,'Carga Tiempos'!D4-MIN('Carga Tiempos'!$C4:$F4))</f>
        <v>4.768518518518533E-6</v>
      </c>
      <c r="E4" s="69">
        <f>+IF('Carga Tiempos'!E4=MIN('Carga Tiempos'!$C4:$F4),'Carga Tiempos'!E4,'Carga Tiempos'!E4-MIN('Carga Tiempos'!$C4:$F4))</f>
        <v>2.2893518518518445E-5</v>
      </c>
      <c r="F4" s="68">
        <f>+IF('Carga Tiempos'!F4=MIN('Carga Tiempos'!$C4:$F4),'Carga Tiempos'!F4,'Carga Tiempos'!F4-MIN('Carga Tiempos'!$C4:$F4))</f>
        <v>4.8611111111110817E-6</v>
      </c>
      <c r="G4" s="58"/>
      <c r="H4" s="1"/>
      <c r="I4" s="1" t="s">
        <v>62</v>
      </c>
      <c r="J4" s="1">
        <f>IF('Carga Tiempos'!H16=MIN('Carga Tiempos'!$H16,'Carga Tiempos'!$I16,'Carga Tiempos'!$K16),0,'Carga Tiempos'!H16-MIN('Carga Tiempos'!$H16,'Carga Tiempos'!$I16,'Carga Tiempos'!$K16))</f>
        <v>2.3977623456788912E-6</v>
      </c>
      <c r="K4" s="1">
        <f>IF('Carga Tiempos'!I16=MIN('Carga Tiempos'!$H16,'Carga Tiempos'!$I16,'Carga Tiempos'!$K16),0,'Carga Tiempos'!I16-MIN('Carga Tiempos'!$H16,'Carga Tiempos'!$I16,'Carga Tiempos'!$K16))</f>
        <v>0</v>
      </c>
      <c r="L4" s="1">
        <f>IF('Carga Tiempos'!K16=MIN('Carga Tiempos'!$H16,'Carga Tiempos'!$I16,'Carga Tiempos'!$K16),0,'Carga Tiempos'!K16-MIN('Carga Tiempos'!$H16,'Carga Tiempos'!$I16,'Carga Tiempos'!$K16))</f>
        <v>9.9247685185187024E-6</v>
      </c>
      <c r="M4" s="1"/>
      <c r="N4" s="1"/>
      <c r="O4" s="1"/>
      <c r="P4" s="1"/>
    </row>
    <row r="5" spans="1:16">
      <c r="A5" s="121" t="s">
        <v>15</v>
      </c>
      <c r="B5" s="64" t="s">
        <v>81</v>
      </c>
      <c r="C5" s="70"/>
      <c r="D5" s="60"/>
      <c r="E5" s="65"/>
      <c r="F5" s="60"/>
      <c r="G5" s="58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22"/>
      <c r="B6" s="62" t="s">
        <v>82</v>
      </c>
      <c r="C6" s="69"/>
      <c r="D6" s="68"/>
      <c r="E6" s="63"/>
      <c r="F6" s="68"/>
      <c r="G6" s="58"/>
      <c r="H6" s="58"/>
      <c r="I6" s="58"/>
      <c r="J6" s="58"/>
      <c r="K6" s="58"/>
      <c r="L6" s="1"/>
      <c r="M6" s="1"/>
      <c r="N6" s="1"/>
      <c r="O6" s="1"/>
      <c r="P6" s="1"/>
    </row>
    <row r="7" spans="1:16">
      <c r="A7" s="123"/>
      <c r="B7" s="66" t="s">
        <v>83</v>
      </c>
      <c r="C7" s="71"/>
      <c r="D7" s="61"/>
      <c r="E7" s="67"/>
      <c r="F7" s="61"/>
      <c r="G7" s="58"/>
      <c r="H7" s="58"/>
      <c r="I7" s="58"/>
      <c r="J7" s="58"/>
      <c r="K7" s="58"/>
      <c r="L7" s="1"/>
      <c r="M7" s="1"/>
      <c r="N7" s="1"/>
      <c r="O7" s="1"/>
      <c r="P7" s="1"/>
    </row>
    <row r="8" spans="1:16">
      <c r="A8" s="122" t="s">
        <v>18</v>
      </c>
      <c r="B8" s="64" t="s">
        <v>81</v>
      </c>
      <c r="C8" s="69"/>
      <c r="D8" s="68"/>
      <c r="E8" s="63"/>
      <c r="F8" s="68"/>
      <c r="G8" s="58"/>
      <c r="H8" s="58"/>
      <c r="I8" s="58"/>
      <c r="J8" s="58"/>
      <c r="K8" s="58"/>
      <c r="L8" s="1"/>
      <c r="M8" s="1"/>
      <c r="N8" s="1"/>
      <c r="O8" s="1"/>
      <c r="P8" s="1"/>
    </row>
    <row r="9" spans="1:16">
      <c r="A9" s="122"/>
      <c r="B9" s="62" t="s">
        <v>82</v>
      </c>
      <c r="C9" s="69"/>
      <c r="D9" s="68"/>
      <c r="E9" s="63"/>
      <c r="F9" s="68"/>
      <c r="G9" s="58"/>
      <c r="H9" s="58"/>
      <c r="I9" s="58"/>
      <c r="J9" s="58"/>
      <c r="K9" s="58"/>
      <c r="L9" s="1"/>
      <c r="M9" s="1"/>
      <c r="N9" s="1"/>
      <c r="O9" s="1"/>
      <c r="P9" s="1"/>
    </row>
    <row r="10" spans="1:16">
      <c r="A10" s="123"/>
      <c r="B10" s="66" t="s">
        <v>83</v>
      </c>
      <c r="C10" s="71">
        <f>+IF('Carga Tiempos'!C10=MIN('Carga Tiempos'!$C10:$F10),'Carga Tiempos'!C10,'Carga Tiempos'!C10-MIN('Carga Tiempos'!$C10:$F10))</f>
        <v>9.374999999999618E-7</v>
      </c>
      <c r="D10" s="61">
        <f>+IF('Carga Tiempos'!D10=MIN('Carga Tiempos'!$C10:$F10),'Carga Tiempos'!D10,'Carga Tiempos'!D10-MIN('Carga Tiempos'!$C10:$F10))</f>
        <v>8.8951388888888891E-4</v>
      </c>
      <c r="E10" s="67">
        <f>+IF('Carga Tiempos'!E10=MIN('Carga Tiempos'!$C10:$F10),'Carga Tiempos'!E10,'Carga Tiempos'!E10-MIN('Carga Tiempos'!$C10:$F10))</f>
        <v>1.7615740740740786E-5</v>
      </c>
      <c r="F10" s="61">
        <f>+IF('Carga Tiempos'!F10=MIN('Carga Tiempos'!$C10:$F10),'Carga Tiempos'!F10,'Carga Tiempos'!F10-MIN('Carga Tiempos'!$C10:$F10))</f>
        <v>1.686342592592603E-5</v>
      </c>
      <c r="G10" s="58"/>
      <c r="H10" s="58"/>
      <c r="I10" s="58"/>
      <c r="J10" s="58"/>
      <c r="K10" s="58"/>
      <c r="L10" s="1"/>
      <c r="M10" s="1"/>
      <c r="N10" s="1"/>
      <c r="O10" s="1"/>
      <c r="P10" s="1"/>
    </row>
    <row r="11" spans="1:16">
      <c r="A11" s="122" t="s">
        <v>21</v>
      </c>
      <c r="B11" s="64" t="s">
        <v>81</v>
      </c>
      <c r="C11" s="69">
        <f>+IF('Carga Tiempos'!C11=MIN('Carga Tiempos'!$C11:$F11),'Carga Tiempos'!C11,'Carga Tiempos'!C11-MIN('Carga Tiempos'!$C11:$F11))</f>
        <v>8.6745370370370383E-4</v>
      </c>
      <c r="D11" s="68">
        <f>+IF('Carga Tiempos'!D11=MIN('Carga Tiempos'!$C11:$F11),'Carga Tiempos'!D11,'Carga Tiempos'!D11-MIN('Carga Tiempos'!$C11:$F11))</f>
        <v>1.7129629629629092E-6</v>
      </c>
      <c r="E11" s="68">
        <f>+IF('Carga Tiempos'!E11=MIN('Carga Tiempos'!$C11:$F11),'Carga Tiempos'!E11,'Carga Tiempos'!E11-MIN('Carga Tiempos'!$C11:$F11))</f>
        <v>1.7199074074073883E-5</v>
      </c>
      <c r="F11" s="68">
        <f>+IF('Carga Tiempos'!F11=MIN('Carga Tiempos'!$C11:$F11),'Carga Tiempos'!F11,'Carga Tiempos'!F11-MIN('Carga Tiempos'!$C11:$F11))</f>
        <v>1.519675925925907E-5</v>
      </c>
      <c r="G11" s="58"/>
      <c r="H11" s="58"/>
      <c r="I11" s="58"/>
      <c r="J11" s="58"/>
      <c r="K11" s="58"/>
      <c r="L11" s="1"/>
      <c r="M11" s="1"/>
      <c r="N11" s="1"/>
      <c r="O11" s="1"/>
      <c r="P11" s="1"/>
    </row>
    <row r="12" spans="1:16">
      <c r="A12" s="122"/>
      <c r="B12" s="62" t="s">
        <v>82</v>
      </c>
      <c r="C12" s="69"/>
      <c r="D12" s="68"/>
      <c r="E12" s="58"/>
      <c r="F12" s="68"/>
      <c r="G12" s="58"/>
      <c r="H12" s="58"/>
      <c r="I12" s="58"/>
      <c r="J12" s="58"/>
      <c r="K12" s="58"/>
      <c r="L12" s="1"/>
      <c r="M12" s="1"/>
      <c r="N12" s="1"/>
      <c r="O12" s="1"/>
      <c r="P12" s="1"/>
    </row>
    <row r="13" spans="1:16">
      <c r="A13" s="122"/>
      <c r="B13" s="62" t="s">
        <v>83</v>
      </c>
      <c r="C13" s="69"/>
      <c r="D13" s="68"/>
      <c r="E13" s="58"/>
      <c r="F13" s="68"/>
      <c r="G13" s="58"/>
      <c r="H13" s="58"/>
      <c r="I13" s="58"/>
      <c r="J13" s="58"/>
      <c r="K13" s="58"/>
      <c r="L13" s="1"/>
      <c r="M13" s="1"/>
      <c r="N13" s="1"/>
      <c r="O13" s="1"/>
      <c r="P13" s="1"/>
    </row>
    <row r="14" spans="1:16">
      <c r="A14" s="121" t="s">
        <v>63</v>
      </c>
      <c r="B14" s="64" t="s">
        <v>81</v>
      </c>
      <c r="C14" s="70">
        <f>+IF('Carga Tiempos'!C14=MIN('Carga Tiempos'!$C14:$F14),'Carga Tiempos'!C14,'Carga Tiempos'!C14-MIN('Carga Tiempos'!$C14:$F14))</f>
        <v>4.7453703703700164E-7</v>
      </c>
      <c r="D14" s="60">
        <f>+IF('Carga Tiempos'!D14=MIN('Carga Tiempos'!$C14:$F14),'Carga Tiempos'!D14,'Carga Tiempos'!D14-MIN('Carga Tiempos'!$C14:$F14))</f>
        <v>8.2130787037037036E-4</v>
      </c>
      <c r="E14" s="65">
        <f>+IF('Carga Tiempos'!E14=MIN('Carga Tiempos'!$C14:$F14),'Carga Tiempos'!E14,'Carga Tiempos'!E14-MIN('Carga Tiempos'!$C14:$F14))</f>
        <v>3.0972222222222273E-5</v>
      </c>
      <c r="F14" s="60">
        <f>+IF('Carga Tiempos'!F14=MIN('Carga Tiempos'!$C14:$F14),'Carga Tiempos'!F14,'Carga Tiempos'!F14-MIN('Carga Tiempos'!$C14:$F14))</f>
        <v>1.3680555555555625E-5</v>
      </c>
      <c r="G14" s="58"/>
      <c r="H14" s="58"/>
      <c r="I14" s="58"/>
      <c r="J14" s="58"/>
      <c r="K14" s="58"/>
      <c r="L14" s="1"/>
      <c r="M14" s="1"/>
      <c r="N14" s="1"/>
      <c r="O14" s="1"/>
      <c r="P14" s="1"/>
    </row>
    <row r="15" spans="1:16">
      <c r="A15" s="122"/>
      <c r="B15" s="62" t="s">
        <v>82</v>
      </c>
      <c r="C15" s="69">
        <f>+IF('Carga Tiempos'!C15=MIN('Carga Tiempos'!$C15:$F15),'Carga Tiempos'!C15,'Carga Tiempos'!C15-MIN('Carga Tiempos'!$C15:$F15))</f>
        <v>8.1365740740740736E-4</v>
      </c>
      <c r="D15" s="68">
        <f>+IF('Carga Tiempos'!D15=MIN('Carga Tiempos'!$C15:$F15),'Carga Tiempos'!D15,'Carga Tiempos'!D15-MIN('Carga Tiempos'!$C15:$F15))</f>
        <v>3.4722222222224181E-6</v>
      </c>
      <c r="E15" s="63">
        <f>+IF('Carga Tiempos'!E15=MIN('Carga Tiempos'!$C15:$F15),'Carga Tiempos'!E15,'Carga Tiempos'!E15-MIN('Carga Tiempos'!$C15:$F15))</f>
        <v>-8.1365740740740736E-4</v>
      </c>
      <c r="F15" s="68">
        <f>+IF('Carga Tiempos'!F15=MIN('Carga Tiempos'!$C15:$F15),'Carga Tiempos'!F15,'Carga Tiempos'!F15-MIN('Carga Tiempos'!$C15:$F15))</f>
        <v>1.1574074074074004E-6</v>
      </c>
      <c r="G15" s="58"/>
      <c r="H15" s="1"/>
      <c r="I15" s="58"/>
      <c r="J15" s="58"/>
      <c r="K15" s="58"/>
      <c r="L15" s="1"/>
      <c r="M15" s="1"/>
      <c r="N15" s="1"/>
      <c r="O15" s="1"/>
      <c r="P15" s="1"/>
    </row>
    <row r="16" spans="1:16">
      <c r="A16" s="123"/>
      <c r="B16" s="66" t="s">
        <v>83</v>
      </c>
      <c r="C16" s="71">
        <f>+IF('Carga Tiempos'!C16=MIN('Carga Tiempos'!$C16:$F16),'Carga Tiempos'!C16,'Carga Tiempos'!C16-MIN('Carga Tiempos'!$C16:$F16))</f>
        <v>3.4722222222224181E-6</v>
      </c>
      <c r="D16" s="61">
        <f>+IF('Carga Tiempos'!D16=MIN('Carga Tiempos'!$C16:$F16),'Carga Tiempos'!D16,'Carga Tiempos'!D16-MIN('Carga Tiempos'!$C16:$F16))</f>
        <v>1.1574074074074329E-5</v>
      </c>
      <c r="E16" s="67">
        <f>+IF('Carga Tiempos'!E16=MIN('Carga Tiempos'!$C16:$F16),'Carga Tiempos'!E16,'Carga Tiempos'!E16-MIN('Carga Tiempos'!$C16:$F16))</f>
        <v>-8.0555555555555545E-4</v>
      </c>
      <c r="F16" s="61">
        <f>+IF('Carga Tiempos'!F16=MIN('Carga Tiempos'!$C16:$F16),'Carga Tiempos'!F16,'Carga Tiempos'!F16-MIN('Carga Tiempos'!$C16:$F16))</f>
        <v>8.0555555555555545E-4</v>
      </c>
      <c r="G16" s="58"/>
      <c r="H16" s="58"/>
      <c r="I16" s="58"/>
      <c r="J16" s="58"/>
      <c r="K16" s="58"/>
      <c r="L16" s="1"/>
      <c r="M16" s="1"/>
      <c r="N16" s="1"/>
      <c r="O16" s="1"/>
      <c r="P16" s="1"/>
    </row>
    <row r="17" spans="1:16">
      <c r="A17" s="122" t="s">
        <v>64</v>
      </c>
      <c r="B17" s="62" t="s">
        <v>81</v>
      </c>
      <c r="C17" s="69">
        <f>+IF('Carga Tiempos'!C17=MIN('Carga Tiempos'!$C17:$F17),'Carga Tiempos'!C17,'Carga Tiempos'!C17-MIN('Carga Tiempos'!$C17:$F17))</f>
        <v>9.2799768518518524E-4</v>
      </c>
      <c r="D17" s="68">
        <f>+IF('Carga Tiempos'!D17=MIN('Carga Tiempos'!$C17:$F17),'Carga Tiempos'!D17,'Carga Tiempos'!D17-MIN('Carga Tiempos'!$C17:$F17))</f>
        <v>2.7777777777775441E-7</v>
      </c>
      <c r="E17" s="63">
        <f>+IF('Carga Tiempos'!E17=MIN('Carga Tiempos'!$C17:$F17),'Carga Tiempos'!E17,'Carga Tiempos'!E17-MIN('Carga Tiempos'!$C17:$F17))</f>
        <v>6.6608796296296273E-5</v>
      </c>
      <c r="F17" s="68">
        <f>+IF('Carga Tiempos'!F17=MIN('Carga Tiempos'!$C17:$F17),'Carga Tiempos'!F17,'Carga Tiempos'!F17-MIN('Carga Tiempos'!$C17:$F17))</f>
        <v>3.4768518518518395E-5</v>
      </c>
      <c r="G17" s="58"/>
      <c r="H17" s="58"/>
      <c r="I17" s="58"/>
      <c r="J17" s="58"/>
      <c r="K17" s="58"/>
      <c r="L17" s="1"/>
      <c r="M17" s="1"/>
      <c r="N17" s="1"/>
      <c r="O17" s="1"/>
      <c r="P17" s="1"/>
    </row>
    <row r="18" spans="1:16">
      <c r="A18" s="122"/>
      <c r="B18" s="62" t="s">
        <v>82</v>
      </c>
      <c r="C18" s="69">
        <f>+IF('Carga Tiempos'!C18=MIN('Carga Tiempos'!$C18:$F18),'Carga Tiempos'!C18,'Carga Tiempos'!C18-MIN('Carga Tiempos'!$C18:$F18))</f>
        <v>9.2592592592592032E-7</v>
      </c>
      <c r="D18" s="68">
        <f>+IF('Carga Tiempos'!D18=MIN('Carga Tiempos'!$C18:$F18),'Carga Tiempos'!D18,'Carga Tiempos'!D18-MIN('Carga Tiempos'!$C18:$F18))</f>
        <v>9.2644675925925924E-4</v>
      </c>
      <c r="E18" s="63">
        <f>+IF('Carga Tiempos'!E18=MIN('Carga Tiempos'!$C18:$F18),'Carga Tiempos'!E18,'Carga Tiempos'!E18-MIN('Carga Tiempos'!$C18:$F18))</f>
        <v>2.8715277777777788E-5</v>
      </c>
      <c r="F18" s="68">
        <f>+IF('Carga Tiempos'!F18=MIN('Carga Tiempos'!$C18:$F18),'Carga Tiempos'!F18,'Carga Tiempos'!F18-MIN('Carga Tiempos'!$C18:$F18))</f>
        <v>7.546296296296294E-6</v>
      </c>
      <c r="G18" s="58"/>
      <c r="H18" s="58"/>
      <c r="I18" s="58"/>
      <c r="J18" s="58"/>
      <c r="K18" s="58"/>
      <c r="L18" s="1"/>
      <c r="M18" s="58"/>
      <c r="N18" s="58"/>
      <c r="O18" s="58"/>
      <c r="P18" s="1"/>
    </row>
    <row r="19" spans="1:16">
      <c r="A19" s="122"/>
      <c r="B19" s="62" t="s">
        <v>83</v>
      </c>
      <c r="C19" s="69">
        <f>+IF('Carga Tiempos'!C19=MIN('Carga Tiempos'!$C19:$F19),'Carga Tiempos'!C19,'Carga Tiempos'!C19-MIN('Carga Tiempos'!$C19:$F19))</f>
        <v>1.1111111111111261E-6</v>
      </c>
      <c r="D19" s="68">
        <f>+IF('Carga Tiempos'!D19=MIN('Carga Tiempos'!$C19:$F19),'Carga Tiempos'!D19,'Carga Tiempos'!D19-MIN('Carga Tiempos'!$C19:$F19))</f>
        <v>9.2501157407407408E-4</v>
      </c>
      <c r="E19" s="63">
        <f>+IF('Carga Tiempos'!E19=MIN('Carga Tiempos'!$C19:$F19),'Carga Tiempos'!E19,'Carga Tiempos'!E19-MIN('Carga Tiempos'!$C19:$F19))</f>
        <v>3.9930555555555639E-5</v>
      </c>
      <c r="F19" s="68">
        <f>+IF('Carga Tiempos'!F19=MIN('Carga Tiempos'!$C19:$F19),'Carga Tiempos'!F19,'Carga Tiempos'!F19-MIN('Carga Tiempos'!$C19:$F19))</f>
        <v>1.682870370370358E-5</v>
      </c>
      <c r="G19" s="58"/>
      <c r="H19" s="58"/>
      <c r="I19" s="58"/>
      <c r="J19" s="58"/>
      <c r="K19" s="58"/>
      <c r="L19" s="1"/>
      <c r="M19" s="1"/>
      <c r="N19" s="1"/>
      <c r="O19" s="1"/>
      <c r="P19" s="1"/>
    </row>
    <row r="20" spans="1:16">
      <c r="A20" s="121" t="s">
        <v>65</v>
      </c>
      <c r="B20" s="64" t="s">
        <v>81</v>
      </c>
      <c r="C20" s="70">
        <f>+IF('Carga Tiempos'!C20=MIN('Carga Tiempos'!$C20:$F20),'Carga Tiempos'!C20,'Carga Tiempos'!C20-MIN('Carga Tiempos'!$C20:$F20))</f>
        <v>1.2464004629629628E-3</v>
      </c>
      <c r="D20" s="70">
        <f>+IF('Carga Tiempos'!D20=MIN('Carga Tiempos'!$C20:$F20),'Carga Tiempos'!D20,'Carga Tiempos'!D20-MIN('Carga Tiempos'!$C20:$F20))</f>
        <v>3.1481481481481725E-6</v>
      </c>
      <c r="E20" s="70">
        <f>+IF('Carga Tiempos'!E20=MIN('Carga Tiempos'!$C20:$F20),'Carga Tiempos'!E20,'Carga Tiempos'!E20-MIN('Carga Tiempos'!$C20:$F20))</f>
        <v>2.3113425925926209E-5</v>
      </c>
      <c r="F20" s="60">
        <f>+IF('Carga Tiempos'!F20=MIN('Carga Tiempos'!$C20:$F20),'Carga Tiempos'!F20,'Carga Tiempos'!F20-MIN('Carga Tiempos'!$C20:$F20))</f>
        <v>4.2303240740740756E-5</v>
      </c>
      <c r="G20" s="58"/>
      <c r="H20" s="58"/>
      <c r="I20" s="58"/>
      <c r="J20" s="58"/>
      <c r="K20" s="58"/>
      <c r="L20" s="1"/>
      <c r="M20" s="1"/>
      <c r="N20" s="1"/>
      <c r="O20" s="1"/>
      <c r="P20" s="1"/>
    </row>
    <row r="21" spans="1:16">
      <c r="A21" s="122"/>
      <c r="B21" s="62" t="s">
        <v>82</v>
      </c>
      <c r="C21" s="69">
        <f>+IF('Carga Tiempos'!C21=MIN('Carga Tiempos'!$C21:$F21),'Carga Tiempos'!C21,'Carga Tiempos'!C21-MIN('Carga Tiempos'!$C21:$F21))</f>
        <v>1.2324652777777779E-3</v>
      </c>
      <c r="D21" s="68">
        <f>+IF('Carga Tiempos'!D21=MIN('Carga Tiempos'!$C21:$F21),'Carga Tiempos'!D21,'Carga Tiempos'!D21-MIN('Carga Tiempos'!$C21:$F21))</f>
        <v>9.2592592592592032E-7</v>
      </c>
      <c r="E21" s="63">
        <f>+IF('Carga Tiempos'!E21=MIN('Carga Tiempos'!$C21:$F21),'Carga Tiempos'!E21,'Carga Tiempos'!E21-MIN('Carga Tiempos'!$C21:$F21))</f>
        <v>-1.2324652777777779E-3</v>
      </c>
      <c r="F21" s="68">
        <f>+IF('Carga Tiempos'!F21=MIN('Carga Tiempos'!$C21:$F21),'Carga Tiempos'!F21,'Carga Tiempos'!F21-MIN('Carga Tiempos'!$C21:$F21))</f>
        <v>1.8113425925925762E-5</v>
      </c>
      <c r="G21" s="58"/>
      <c r="H21" s="58"/>
      <c r="I21" s="58"/>
      <c r="J21" s="58"/>
      <c r="K21" s="58"/>
      <c r="L21" s="1"/>
      <c r="M21" s="1"/>
      <c r="N21" s="1"/>
      <c r="O21" s="1"/>
      <c r="P21" s="1"/>
    </row>
    <row r="22" spans="1:16">
      <c r="A22" s="122"/>
      <c r="B22" s="62" t="s">
        <v>83</v>
      </c>
      <c r="C22" s="69">
        <f>+IF('Carga Tiempos'!C22=MIN('Carga Tiempos'!$C22:$F22),'Carga Tiempos'!C22,'Carga Tiempos'!C22-MIN('Carga Tiempos'!$C22:$F22))</f>
        <v>6.7129629629629223E-6</v>
      </c>
      <c r="D22" s="68">
        <f>+IF('Carga Tiempos'!D22=MIN('Carga Tiempos'!$C22:$F22),'Carga Tiempos'!D22,'Carga Tiempos'!D22-MIN('Carga Tiempos'!$C22:$F22))</f>
        <v>1.2310648148148148E-3</v>
      </c>
      <c r="E22" s="63">
        <f>+IF('Carga Tiempos'!E22=MIN('Carga Tiempos'!$C22:$F22),'Carga Tiempos'!E22,'Carga Tiempos'!E22-MIN('Carga Tiempos'!$C22:$F22))</f>
        <v>-1.2310648148148148E-3</v>
      </c>
      <c r="F22" s="68">
        <f>+IF('Carga Tiempos'!F22=MIN('Carga Tiempos'!$C22:$F22),'Carga Tiempos'!F22,'Carga Tiempos'!F22-MIN('Carga Tiempos'!$C22:$F22))</f>
        <v>9.305555555555586E-6</v>
      </c>
      <c r="G22" s="58"/>
      <c r="H22" s="58"/>
      <c r="I22" s="58"/>
      <c r="J22" s="58"/>
      <c r="K22" s="58"/>
      <c r="L22" s="1"/>
      <c r="M22" s="1"/>
      <c r="N22" s="1"/>
      <c r="O22" s="1"/>
      <c r="P22" s="1"/>
    </row>
    <row r="23" spans="1:16">
      <c r="A23" s="121" t="s">
        <v>66</v>
      </c>
      <c r="B23" s="64" t="s">
        <v>81</v>
      </c>
      <c r="C23" s="70">
        <f>+IF('Carga Tiempos'!C23=MIN('Carga Tiempos'!$C23:$F23),'Carga Tiempos'!C23,'Carga Tiempos'!C23-MIN('Carga Tiempos'!$C23:$F23))</f>
        <v>1.0980555555555555E-3</v>
      </c>
      <c r="D23" s="70">
        <f>+IF('Carga Tiempos'!D23=MIN('Carga Tiempos'!$C23:$F23),'Carga Tiempos'!D23,'Carga Tiempos'!D23-MIN('Carga Tiempos'!$C23:$F23))</f>
        <v>1.0914351851852013E-5</v>
      </c>
      <c r="E23" s="70">
        <f>+IF('Carga Tiempos'!E23=MIN('Carga Tiempos'!$C23:$F23),'Carga Tiempos'!E23,'Carga Tiempos'!E23-MIN('Carga Tiempos'!$C23:$F23))</f>
        <v>3.3391203703703881E-5</v>
      </c>
      <c r="F23" s="60">
        <f>+IF('Carga Tiempos'!F23=MIN('Carga Tiempos'!$C23:$F23),'Carga Tiempos'!F23,'Carga Tiempos'!F23-MIN('Carga Tiempos'!$C23:$F23))</f>
        <v>6.1273148148148189E-5</v>
      </c>
      <c r="G23" s="58"/>
      <c r="H23" s="58"/>
      <c r="I23" s="58"/>
      <c r="J23" s="58"/>
      <c r="K23" s="58"/>
      <c r="L23" s="1"/>
      <c r="M23" s="1"/>
      <c r="N23" s="1"/>
      <c r="O23" s="1"/>
      <c r="P23" s="1"/>
    </row>
    <row r="24" spans="1:16">
      <c r="A24" s="122"/>
      <c r="B24" s="62" t="s">
        <v>82</v>
      </c>
      <c r="C24" s="69">
        <f>+IF('Carga Tiempos'!C24=MIN('Carga Tiempos'!$C24:$F24),'Carga Tiempos'!C24,'Carga Tiempos'!C24-MIN('Carga Tiempos'!$C24:$F24))</f>
        <v>1.0967939814814816E-3</v>
      </c>
      <c r="D24" s="68">
        <f>+IF('Carga Tiempos'!D24=MIN('Carga Tiempos'!$C24:$F24),'Carga Tiempos'!D24,'Carga Tiempos'!D24-MIN('Carga Tiempos'!$C24:$F24))</f>
        <v>1.3043981481481283E-5</v>
      </c>
      <c r="E24" s="63">
        <f>+IF('Carga Tiempos'!E24=MIN('Carga Tiempos'!$C24:$F24),'Carga Tiempos'!E24,'Carga Tiempos'!E24-MIN('Carga Tiempos'!$C24:$F24))</f>
        <v>3.4432870370370216E-5</v>
      </c>
      <c r="F24" s="68">
        <f>+IF('Carga Tiempos'!F24=MIN('Carga Tiempos'!$C24:$F24),'Carga Tiempos'!F24,'Carga Tiempos'!F24-MIN('Carga Tiempos'!$C24:$F24))</f>
        <v>3.4432870370370216E-5</v>
      </c>
      <c r="G24" s="58"/>
      <c r="H24" s="58"/>
      <c r="I24" s="58"/>
      <c r="J24" s="58"/>
      <c r="K24" s="58"/>
      <c r="L24" s="1"/>
      <c r="M24" s="1"/>
      <c r="N24" s="1"/>
      <c r="O24" s="1"/>
      <c r="P24" s="1"/>
    </row>
    <row r="25" spans="1:16">
      <c r="A25" s="123"/>
      <c r="B25" s="66" t="s">
        <v>83</v>
      </c>
      <c r="C25" s="71">
        <f>+IF('Carga Tiempos'!C25=MIN('Carga Tiempos'!$C25:$F25),'Carga Tiempos'!C25,'Carga Tiempos'!C25-MIN('Carga Tiempos'!$C25:$F25))</f>
        <v>1.8495370370370107E-5</v>
      </c>
      <c r="D25" s="61">
        <f>+IF('Carga Tiempos'!D25=MIN('Carga Tiempos'!$C25:$F25),'Carga Tiempos'!D25,'Carga Tiempos'!D25-MIN('Carga Tiempos'!$C25:$F25))</f>
        <v>1.0958333333333334E-3</v>
      </c>
      <c r="E25" s="67">
        <f>+IF('Carga Tiempos'!E25=MIN('Carga Tiempos'!$C25:$F25),'Carga Tiempos'!E25,'Carga Tiempos'!E25-MIN('Carga Tiempos'!$C25:$F25))</f>
        <v>2.803240740740739E-5</v>
      </c>
      <c r="F25" s="61">
        <f>+IF('Carga Tiempos'!F25=MIN('Carga Tiempos'!$C25:$F25),'Carga Tiempos'!F25,'Carga Tiempos'!F25-MIN('Carga Tiempos'!$C25:$F25))</f>
        <v>2.803240740740739E-5</v>
      </c>
      <c r="G25" s="58"/>
      <c r="H25" s="58"/>
      <c r="I25" s="58"/>
      <c r="J25" s="58"/>
      <c r="K25" s="58"/>
      <c r="L25" s="1"/>
      <c r="M25" s="1"/>
      <c r="N25" s="1"/>
      <c r="O25" s="1"/>
      <c r="P25" s="1"/>
    </row>
    <row r="26" spans="1:16">
      <c r="A26" s="122" t="s">
        <v>67</v>
      </c>
      <c r="B26" s="62" t="s">
        <v>81</v>
      </c>
      <c r="C26" s="69">
        <f>+IF('Carga Tiempos'!C26=MIN('Carga Tiempos'!$C26:$F26),'Carga Tiempos'!C26,'Carga Tiempos'!C26-MIN('Carga Tiempos'!$C26:$F26))</f>
        <v>1.1894212962962963E-3</v>
      </c>
      <c r="D26" s="70">
        <f>+IF('Carga Tiempos'!D26=MIN('Carga Tiempos'!$C26:$F26),'Carga Tiempos'!D26,'Carga Tiempos'!D26-MIN('Carga Tiempos'!$C26:$F26))</f>
        <v>-1.1894212962962963E-3</v>
      </c>
      <c r="E26" s="69">
        <f>+IF('Carga Tiempos'!E26=MIN('Carga Tiempos'!$C26:$F26),'Carga Tiempos'!E26,'Carga Tiempos'!E26-MIN('Carga Tiempos'!$C26:$F26))</f>
        <v>7.6828703703703738E-5</v>
      </c>
      <c r="F26" s="68">
        <f>+IF('Carga Tiempos'!F26=MIN('Carga Tiempos'!$C26:$F26),'Carga Tiempos'!F26,'Carga Tiempos'!F26-MIN('Carga Tiempos'!$C26:$F26))</f>
        <v>2.539351851851856E-5</v>
      </c>
      <c r="G26" s="58"/>
      <c r="H26" s="58"/>
      <c r="I26" s="58"/>
      <c r="J26" s="58"/>
      <c r="K26" s="58"/>
      <c r="L26" s="1"/>
      <c r="M26" s="1"/>
      <c r="N26" s="1"/>
      <c r="O26" s="1"/>
      <c r="P26" s="1"/>
    </row>
    <row r="27" spans="1:16">
      <c r="A27" s="122"/>
      <c r="B27" s="62" t="s">
        <v>82</v>
      </c>
      <c r="C27" s="69">
        <f>+IF('Carga Tiempos'!C27=MIN('Carga Tiempos'!$C27:$F27),'Carga Tiempos'!C27,'Carga Tiempos'!C27-MIN('Carga Tiempos'!$C27:$F27))</f>
        <v>1.1767824074074074E-3</v>
      </c>
      <c r="D27" s="68">
        <f>+IF('Carga Tiempos'!D27=MIN('Carga Tiempos'!$C27:$F27),'Carga Tiempos'!D27,'Carga Tiempos'!D27-MIN('Carga Tiempos'!$C27:$F27))</f>
        <v>-1.1767824074074074E-3</v>
      </c>
      <c r="E27" s="63">
        <f>+IF('Carga Tiempos'!E27=MIN('Carga Tiempos'!$C27:$F27),'Carga Tiempos'!E27,'Carga Tiempos'!E27-MIN('Carga Tiempos'!$C27:$F27))</f>
        <v>-1.1767824074074074E-3</v>
      </c>
      <c r="F27" s="68">
        <f>+IF('Carga Tiempos'!F27=MIN('Carga Tiempos'!$C27:$F27),'Carga Tiempos'!F27,'Carga Tiempos'!F27-MIN('Carga Tiempos'!$C27:$F27))</f>
        <v>1.2858796296296186E-5</v>
      </c>
      <c r="G27" s="58"/>
      <c r="H27" s="58"/>
      <c r="I27" s="58"/>
      <c r="J27" s="58"/>
      <c r="K27" s="58"/>
      <c r="L27" s="1"/>
      <c r="M27" s="1"/>
      <c r="N27" s="1"/>
      <c r="O27" s="1"/>
      <c r="P27" s="1"/>
    </row>
    <row r="28" spans="1:16">
      <c r="A28" s="122"/>
      <c r="B28" s="62" t="s">
        <v>83</v>
      </c>
      <c r="C28" s="69">
        <f>+IF('Carga Tiempos'!C28=MIN('Carga Tiempos'!$C28:$F28),'Carga Tiempos'!C28,'Carga Tiempos'!C28-MIN('Carga Tiempos'!$C28:$F28))</f>
        <v>0</v>
      </c>
      <c r="D28" s="68">
        <f>+IF('Carga Tiempos'!D28=MIN('Carga Tiempos'!$C28:$F28),'Carga Tiempos'!D28,'Carga Tiempos'!D28-MIN('Carga Tiempos'!$C28:$F28))</f>
        <v>0</v>
      </c>
      <c r="E28" s="63">
        <f>+IF('Carga Tiempos'!E28=MIN('Carga Tiempos'!$C28:$F28),'Carga Tiempos'!E28,'Carga Tiempos'!E28-MIN('Carga Tiempos'!$C28:$F28))</f>
        <v>0</v>
      </c>
      <c r="F28" s="68">
        <f>+IF('Carga Tiempos'!F28=MIN('Carga Tiempos'!$C28:$F28),'Carga Tiempos'!F28,'Carga Tiempos'!F28-MIN('Carga Tiempos'!$C28:$F28))</f>
        <v>0</v>
      </c>
      <c r="G28" s="58"/>
      <c r="H28" s="58"/>
      <c r="I28" s="58"/>
      <c r="J28" s="58"/>
      <c r="K28" s="58"/>
      <c r="L28" s="1"/>
      <c r="M28" s="1"/>
      <c r="N28" s="1"/>
      <c r="O28" s="1"/>
      <c r="P28" s="1"/>
    </row>
    <row r="29" spans="1:16">
      <c r="A29" s="121" t="s">
        <v>98</v>
      </c>
      <c r="B29" s="64" t="s">
        <v>81</v>
      </c>
      <c r="C29" s="70" t="e">
        <f>+IF('Carga Tiempos'!C29=MIN('Carga Tiempos'!$C29:$F29),'Carga Tiempos'!C29,'Carga Tiempos'!C29-MIN('Carga Tiempos'!$C29:$F29))</f>
        <v>#VALUE!</v>
      </c>
      <c r="D29" s="70" t="e">
        <f>+IF('Carga Tiempos'!D29=MIN('Carga Tiempos'!$C29:$F29),'Carga Tiempos'!D29,'Carga Tiempos'!D29-MIN('Carga Tiempos'!$C29:$F29))</f>
        <v>#VALUE!</v>
      </c>
      <c r="E29" s="70" t="e">
        <f>+IF('Carga Tiempos'!E29=MIN('Carga Tiempos'!$C29:$F29),'Carga Tiempos'!E29,'Carga Tiempos'!E29-MIN('Carga Tiempos'!$C29:$F29))</f>
        <v>#VALUE!</v>
      </c>
      <c r="F29" s="60" t="e">
        <f>+IF('Carga Tiempos'!F29=MIN('Carga Tiempos'!$C29:$F29),'Carga Tiempos'!F29,'Carga Tiempos'!F29-MIN('Carga Tiempos'!$C29:$F29))</f>
        <v>#VALUE!</v>
      </c>
      <c r="G29" s="58"/>
      <c r="H29" s="58"/>
      <c r="I29" s="58"/>
      <c r="J29" s="58"/>
      <c r="K29" s="58"/>
      <c r="L29" s="1"/>
      <c r="M29" s="1"/>
      <c r="N29" s="1"/>
      <c r="O29" s="1"/>
      <c r="P29" s="1"/>
    </row>
    <row r="30" spans="1:16">
      <c r="A30" s="122"/>
      <c r="B30" s="62" t="s">
        <v>82</v>
      </c>
      <c r="C30" s="69">
        <f>+IF('Carga Tiempos'!C30=MIN('Carga Tiempos'!$C30:$F30),'Carga Tiempos'!C30,'Carga Tiempos'!C30-MIN('Carga Tiempos'!$C30:$F30))</f>
        <v>0</v>
      </c>
      <c r="D30" s="68">
        <f>+IF('Carga Tiempos'!D30=MIN('Carga Tiempos'!$C30:$F30),'Carga Tiempos'!D30,'Carga Tiempos'!D30-MIN('Carga Tiempos'!$C30:$F30))</f>
        <v>0</v>
      </c>
      <c r="E30" s="63">
        <f>+IF('Carga Tiempos'!E30=MIN('Carga Tiempos'!$C30:$F30),'Carga Tiempos'!E30,'Carga Tiempos'!E30-MIN('Carga Tiempos'!$C30:$F30))</f>
        <v>0</v>
      </c>
      <c r="F30" s="68">
        <f>+IF('Carga Tiempos'!F30=MIN('Carga Tiempos'!$C30:$F30),'Carga Tiempos'!F30,'Carga Tiempos'!F30-MIN('Carga Tiempos'!$C30:$F30))</f>
        <v>0</v>
      </c>
      <c r="G30" s="58"/>
      <c r="H30" s="58"/>
      <c r="I30" s="58"/>
      <c r="J30" s="58"/>
      <c r="K30" s="58"/>
      <c r="L30" s="1"/>
      <c r="M30" s="1"/>
      <c r="N30" s="1"/>
      <c r="O30" s="1"/>
      <c r="P30" s="1"/>
    </row>
    <row r="31" spans="1:16">
      <c r="A31" s="123"/>
      <c r="B31" s="66" t="s">
        <v>83</v>
      </c>
      <c r="C31" s="71" t="e">
        <f>+IF('Carga Tiempos'!C31=MIN('Carga Tiempos'!$C31:$F31),'Carga Tiempos'!C31,'Carga Tiempos'!C31-MIN('Carga Tiempos'!$C31:$F31))</f>
        <v>#VALUE!</v>
      </c>
      <c r="D31" s="61" t="e">
        <f>+IF('Carga Tiempos'!D31=MIN('Carga Tiempos'!$C31:$F31),'Carga Tiempos'!D31,'Carga Tiempos'!D31-MIN('Carga Tiempos'!$C31:$F31))</f>
        <v>#VALUE!</v>
      </c>
      <c r="E31" s="67" t="e">
        <f>+IF('Carga Tiempos'!E31=MIN('Carga Tiempos'!$C31:$F31),'Carga Tiempos'!E31,'Carga Tiempos'!E31-MIN('Carga Tiempos'!$C31:$F31))</f>
        <v>#VALUE!</v>
      </c>
      <c r="F31" s="61" t="e">
        <f>+IF('Carga Tiempos'!F31=MIN('Carga Tiempos'!$C31:$F31),'Carga Tiempos'!F31,'Carga Tiempos'!F31-MIN('Carga Tiempos'!$C31:$F31))</f>
        <v>#VALUE!</v>
      </c>
      <c r="G31" s="58"/>
      <c r="H31" s="58"/>
      <c r="I31" s="58"/>
      <c r="J31" s="58"/>
      <c r="K31" s="58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5" priority="6" stopIfTrue="1">
      <formula>AND(C2&gt;0, C2&lt;0.000347)</formula>
    </cfRule>
    <cfRule type="cellIs" dxfId="4" priority="10" operator="greaterThan">
      <formula>0.0000231481481481481</formula>
    </cfRule>
  </conditionalFormatting>
  <conditionalFormatting sqref="H6:K14 H16:K31">
    <cfRule type="expression" dxfId="3" priority="5">
      <formula>"(=Y(Celda&gt;0; Celda&lt;0,000012))"</formula>
    </cfRule>
  </conditionalFormatting>
  <conditionalFormatting sqref="I15:K15">
    <cfRule type="expression" dxfId="2" priority="3">
      <formula>AND(I15&gt;0, I15&lt;0.000012)</formula>
    </cfRule>
    <cfRule type="cellIs" dxfId="1" priority="4" operator="greaterThan">
      <formula>0.0000231481481481481</formula>
    </cfRule>
  </conditionalFormatting>
  <conditionalFormatting sqref="J2:L4">
    <cfRule type="colorScale" priority="1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0" priority="2" stopIfTrue="1">
      <formula>AND(J2&gt;0, J2&lt;0.000347)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X115"/>
  <sheetViews>
    <sheetView topLeftCell="A52" workbookViewId="0">
      <selection activeCell="A95" sqref="A95:F96"/>
    </sheetView>
  </sheetViews>
  <sheetFormatPr defaultRowHeight="15"/>
  <cols>
    <col min="1" max="1" width="13.5703125" bestFit="1" customWidth="1"/>
    <col min="2" max="3" width="10.140625" bestFit="1" customWidth="1"/>
    <col min="4" max="4" width="10.42578125" bestFit="1" customWidth="1"/>
    <col min="5" max="6" width="9.85546875" bestFit="1" customWidth="1"/>
    <col min="8" max="8" width="10.42578125" bestFit="1" customWidth="1"/>
    <col min="11" max="11" width="13.5703125" bestFit="1" customWidth="1"/>
    <col min="12" max="12" width="10.42578125" bestFit="1" customWidth="1"/>
    <col min="13" max="13" width="14.42578125" bestFit="1" customWidth="1"/>
    <col min="14" max="14" width="10.42578125" bestFit="1" customWidth="1"/>
    <col min="15" max="15" width="10.140625" bestFit="1" customWidth="1"/>
    <col min="16" max="16" width="9.85546875" bestFit="1" customWidth="1"/>
    <col min="18" max="18" width="10.140625" bestFit="1" customWidth="1"/>
    <col min="19" max="20" width="9.85546875" bestFit="1" customWidth="1"/>
    <col min="22" max="24" width="9.85546875" bestFit="1" customWidth="1"/>
  </cols>
  <sheetData>
    <row r="1" spans="1:22" s="1" customFormat="1" ht="34.5">
      <c r="K1" s="124" t="s">
        <v>65</v>
      </c>
      <c r="L1" s="124"/>
      <c r="M1" s="124"/>
      <c r="N1" s="124"/>
      <c r="O1" s="124"/>
      <c r="P1" s="124"/>
      <c r="Q1" s="124"/>
      <c r="R1" s="124"/>
    </row>
    <row r="2" spans="1:22">
      <c r="A2" s="1"/>
      <c r="B2" s="1"/>
      <c r="C2" s="1"/>
      <c r="D2" s="1"/>
      <c r="E2" s="1"/>
      <c r="F2" s="1"/>
      <c r="G2" s="1"/>
      <c r="H2" s="1"/>
      <c r="I2" s="1"/>
      <c r="J2" s="1"/>
      <c r="K2" s="125" t="s">
        <v>99</v>
      </c>
      <c r="L2" s="126"/>
      <c r="M2" s="125" t="s">
        <v>100</v>
      </c>
      <c r="N2" s="126"/>
      <c r="O2" s="125" t="s">
        <v>101</v>
      </c>
      <c r="P2" s="126"/>
      <c r="Q2" s="125" t="s">
        <v>102</v>
      </c>
      <c r="R2" s="126"/>
      <c r="S2" s="1"/>
      <c r="T2" s="1"/>
      <c r="U2" s="1"/>
      <c r="V2" s="1"/>
    </row>
    <row r="3" spans="1:22">
      <c r="A3" s="1"/>
      <c r="B3" s="1"/>
      <c r="C3" s="1"/>
      <c r="D3" s="1"/>
      <c r="E3" s="1"/>
      <c r="F3" s="1"/>
      <c r="G3" s="1"/>
      <c r="H3" s="1"/>
      <c r="I3" s="1"/>
      <c r="J3" s="1"/>
      <c r="K3" s="76">
        <v>1</v>
      </c>
      <c r="L3" s="81">
        <v>1.2731481481481483E-3</v>
      </c>
      <c r="M3" s="86" t="s">
        <v>103</v>
      </c>
      <c r="N3" s="77">
        <v>1.2796759259259259E-3</v>
      </c>
      <c r="O3" s="86" t="s">
        <v>103</v>
      </c>
      <c r="P3" s="84">
        <v>1.4428356481481482E-3</v>
      </c>
      <c r="Q3" s="83" t="s">
        <v>103</v>
      </c>
      <c r="R3" s="84">
        <v>1.4428356481481482E-3</v>
      </c>
      <c r="S3" s="1"/>
      <c r="T3" s="1"/>
      <c r="U3" s="1"/>
      <c r="V3" s="1"/>
    </row>
    <row r="4" spans="1:22">
      <c r="A4" s="1"/>
      <c r="B4" s="1"/>
      <c r="C4" s="1"/>
      <c r="D4" s="1"/>
      <c r="E4" s="1"/>
      <c r="F4" s="1"/>
      <c r="G4" s="1"/>
      <c r="H4" s="1"/>
      <c r="I4" s="1"/>
      <c r="J4" s="1"/>
      <c r="K4" s="78">
        <v>2</v>
      </c>
      <c r="L4" s="81">
        <v>1.2580092592592593E-3</v>
      </c>
      <c r="M4" s="83" t="s">
        <v>104</v>
      </c>
      <c r="N4" s="77">
        <v>1.2429976851851853E-3</v>
      </c>
      <c r="O4" s="83" t="s">
        <v>104</v>
      </c>
      <c r="P4" s="81">
        <v>1.2858101851851852E-3</v>
      </c>
      <c r="Q4" s="83" t="s">
        <v>104</v>
      </c>
      <c r="R4" s="81">
        <v>1.2858101851851852E-3</v>
      </c>
      <c r="S4" s="1"/>
      <c r="T4" s="1"/>
      <c r="U4" s="1"/>
      <c r="V4" s="1"/>
    </row>
    <row r="5" spans="1:22">
      <c r="A5" s="1"/>
      <c r="B5" s="1"/>
      <c r="C5" s="1"/>
      <c r="D5" s="1"/>
      <c r="E5" s="1"/>
      <c r="F5" s="1"/>
      <c r="G5" s="1"/>
      <c r="H5" s="1"/>
      <c r="I5" s="1"/>
      <c r="J5" s="1"/>
      <c r="K5" s="78">
        <v>3</v>
      </c>
      <c r="L5" s="81">
        <v>1.2545601851851852E-3</v>
      </c>
      <c r="M5" s="87" t="s">
        <v>105</v>
      </c>
      <c r="N5" s="77">
        <v>1.2377777777777777E-3</v>
      </c>
      <c r="O5" s="87" t="s">
        <v>105</v>
      </c>
      <c r="P5" s="81">
        <v>1.2647453703703703E-3</v>
      </c>
      <c r="Q5" s="83" t="s">
        <v>105</v>
      </c>
      <c r="R5" s="81">
        <v>1.2647453703703703E-3</v>
      </c>
      <c r="S5" s="1"/>
      <c r="T5" s="1"/>
      <c r="U5" s="1"/>
      <c r="V5" s="1"/>
    </row>
    <row r="6" spans="1:22">
      <c r="A6" s="1"/>
      <c r="B6" s="1"/>
      <c r="C6" s="1"/>
      <c r="D6" s="1"/>
      <c r="E6" s="1"/>
      <c r="F6" s="1"/>
      <c r="G6" s="1"/>
      <c r="H6" s="1"/>
      <c r="I6" s="1"/>
      <c r="J6" s="1"/>
      <c r="K6" s="78">
        <v>4</v>
      </c>
      <c r="L6" s="81">
        <v>1.2705902777777778E-3</v>
      </c>
      <c r="M6" s="83" t="s">
        <v>106</v>
      </c>
      <c r="N6" s="77">
        <v>1.3249884259259259E-3</v>
      </c>
      <c r="O6" s="83" t="s">
        <v>106</v>
      </c>
      <c r="P6" s="81">
        <v>1.2908564814814816E-3</v>
      </c>
      <c r="Q6" s="83" t="s">
        <v>106</v>
      </c>
      <c r="R6" s="81">
        <v>1.2908564814814816E-3</v>
      </c>
      <c r="S6" s="1"/>
      <c r="T6" s="1"/>
      <c r="U6" s="1"/>
      <c r="V6" s="1"/>
    </row>
    <row r="7" spans="1:22">
      <c r="A7" s="1"/>
      <c r="B7" s="1"/>
      <c r="C7" s="1"/>
      <c r="D7" s="1"/>
      <c r="E7" s="1"/>
      <c r="F7" s="1"/>
      <c r="G7" s="1"/>
      <c r="H7" s="1"/>
      <c r="I7" s="1"/>
      <c r="J7" s="1"/>
      <c r="K7" s="78">
        <v>5</v>
      </c>
      <c r="L7" s="81">
        <v>1.260300925925926E-3</v>
      </c>
      <c r="M7" s="87" t="s">
        <v>107</v>
      </c>
      <c r="N7" s="77">
        <v>1.2426273148148149E-3</v>
      </c>
      <c r="O7" s="87" t="s">
        <v>107</v>
      </c>
      <c r="P7" s="81">
        <v>1.2742476851851851E-3</v>
      </c>
      <c r="Q7" s="83" t="s">
        <v>107</v>
      </c>
      <c r="R7" s="81">
        <v>1.2742476851851851E-3</v>
      </c>
      <c r="S7" s="1"/>
      <c r="T7" s="1"/>
      <c r="U7" s="1"/>
      <c r="V7" s="1"/>
    </row>
    <row r="8" spans="1:22">
      <c r="A8" s="1"/>
      <c r="B8" s="1"/>
      <c r="C8" s="1"/>
      <c r="D8" s="1"/>
      <c r="E8" s="1"/>
      <c r="F8" s="1"/>
      <c r="G8" s="1"/>
      <c r="H8" s="1"/>
      <c r="I8" s="1"/>
      <c r="J8" s="1"/>
      <c r="K8" s="78">
        <v>6</v>
      </c>
      <c r="L8" s="81">
        <v>1.2778935185185185E-3</v>
      </c>
      <c r="M8" s="83" t="s">
        <v>108</v>
      </c>
      <c r="N8" s="77">
        <v>1.2478472222222222E-3</v>
      </c>
      <c r="O8" s="83" t="s">
        <v>108</v>
      </c>
      <c r="P8" s="81">
        <v>1.2452199074074073E-3</v>
      </c>
      <c r="Q8" s="83" t="s">
        <v>108</v>
      </c>
      <c r="R8" s="81">
        <v>1.2452199074074073E-3</v>
      </c>
      <c r="S8" s="1"/>
      <c r="T8" s="1"/>
      <c r="U8" s="1"/>
      <c r="V8" s="1"/>
    </row>
    <row r="9" spans="1:22">
      <c r="A9" s="1"/>
      <c r="B9" s="1"/>
      <c r="C9" s="1"/>
      <c r="D9" s="1"/>
      <c r="E9" s="1"/>
      <c r="F9" s="1"/>
      <c r="G9" s="1"/>
      <c r="H9" s="1"/>
      <c r="I9" s="1"/>
      <c r="J9" s="1"/>
      <c r="K9" s="78">
        <v>7</v>
      </c>
      <c r="L9" s="81">
        <v>1.2427199074074074E-3</v>
      </c>
      <c r="M9" s="83" t="s">
        <v>109</v>
      </c>
      <c r="N9" s="77">
        <v>1.248275462962963E-3</v>
      </c>
      <c r="O9" s="83" t="s">
        <v>109</v>
      </c>
      <c r="P9" s="81">
        <v>1.2555324074074075E-3</v>
      </c>
      <c r="Q9" s="83" t="s">
        <v>109</v>
      </c>
      <c r="R9" s="81">
        <v>1.2555324074074075E-3</v>
      </c>
      <c r="S9" s="1"/>
      <c r="T9" s="1"/>
      <c r="U9" s="1"/>
      <c r="V9" s="1"/>
    </row>
    <row r="10" spans="1:22">
      <c r="A10" s="1"/>
      <c r="B10" s="1"/>
      <c r="C10" s="1"/>
      <c r="D10" s="1"/>
      <c r="E10" s="1"/>
      <c r="F10" s="1"/>
      <c r="G10" s="1"/>
      <c r="H10" s="1"/>
      <c r="I10" s="1"/>
      <c r="J10" s="1"/>
      <c r="K10" s="76">
        <v>8</v>
      </c>
      <c r="L10" s="81">
        <v>1.2430787037037037E-3</v>
      </c>
      <c r="M10" s="87" t="s">
        <v>110</v>
      </c>
      <c r="N10" s="77">
        <v>1.2653240740740741E-3</v>
      </c>
      <c r="O10" s="87" t="s">
        <v>110</v>
      </c>
      <c r="P10" s="81">
        <v>1.2631365740740741E-3</v>
      </c>
      <c r="Q10" s="83" t="s">
        <v>110</v>
      </c>
      <c r="R10" s="81">
        <v>1.2631365740740741E-3</v>
      </c>
      <c r="S10" s="1"/>
      <c r="T10" s="1"/>
      <c r="U10" s="1"/>
      <c r="V10" s="1"/>
    </row>
    <row r="11" spans="1:22">
      <c r="A11" s="1"/>
      <c r="B11" s="1"/>
      <c r="C11" s="1"/>
      <c r="D11" s="1"/>
      <c r="E11" s="1"/>
      <c r="F11" s="1"/>
      <c r="G11" s="1"/>
      <c r="H11" s="1"/>
      <c r="I11" s="1"/>
      <c r="J11" s="1"/>
      <c r="K11" s="76">
        <v>9</v>
      </c>
      <c r="L11" s="81">
        <v>1.6843518518518518E-3</v>
      </c>
      <c r="M11" s="83" t="s">
        <v>111</v>
      </c>
      <c r="N11" s="77">
        <v>1.6837615740740741E-3</v>
      </c>
      <c r="O11" s="83" t="s">
        <v>111</v>
      </c>
      <c r="P11" s="81">
        <v>1.4671412037037036E-3</v>
      </c>
      <c r="Q11" s="83" t="s">
        <v>111</v>
      </c>
      <c r="R11" s="81">
        <v>1.4671412037037036E-3</v>
      </c>
      <c r="S11" s="1"/>
      <c r="T11" s="1"/>
      <c r="U11" s="1"/>
      <c r="V11" s="1"/>
    </row>
    <row r="12" spans="1:22">
      <c r="A12" s="1"/>
      <c r="B12" s="1"/>
      <c r="C12" s="1"/>
      <c r="D12" s="1"/>
      <c r="E12" s="1"/>
      <c r="F12" s="1"/>
      <c r="G12" s="1"/>
      <c r="H12" s="1"/>
      <c r="I12" s="1"/>
      <c r="J12" s="1"/>
      <c r="K12" s="76">
        <v>10</v>
      </c>
      <c r="L12" s="81">
        <v>1.5963078703703703E-3</v>
      </c>
      <c r="M12" s="83" t="s">
        <v>112</v>
      </c>
      <c r="N12" s="77">
        <v>1.543287037037037E-3</v>
      </c>
      <c r="O12" s="83" t="s">
        <v>112</v>
      </c>
      <c r="P12" s="81">
        <v>1.5160185185185185E-3</v>
      </c>
      <c r="Q12" s="83" t="s">
        <v>112</v>
      </c>
      <c r="R12" s="81">
        <v>1.5160185185185185E-3</v>
      </c>
      <c r="S12" s="1"/>
      <c r="T12" s="1"/>
      <c r="U12" s="1"/>
      <c r="V12" s="1"/>
    </row>
    <row r="13" spans="1:22">
      <c r="A13" s="1"/>
      <c r="B13" s="1"/>
      <c r="C13" s="1"/>
      <c r="D13" s="1"/>
      <c r="E13" s="1"/>
      <c r="F13" s="1"/>
      <c r="G13" s="1"/>
      <c r="H13" s="1"/>
      <c r="I13" s="1"/>
      <c r="J13" s="1"/>
      <c r="K13" s="76">
        <v>11</v>
      </c>
      <c r="L13" s="81">
        <v>1.8983680555555557E-3</v>
      </c>
      <c r="M13" s="83" t="s">
        <v>113</v>
      </c>
      <c r="N13" s="77">
        <v>1.9202893518518521E-3</v>
      </c>
      <c r="O13" s="83" t="s">
        <v>113</v>
      </c>
      <c r="P13" s="81">
        <v>1.9527199074074074E-3</v>
      </c>
      <c r="Q13" s="83" t="s">
        <v>113</v>
      </c>
      <c r="R13" s="81">
        <v>1.9527199074074074E-3</v>
      </c>
      <c r="S13" s="1"/>
      <c r="T13" s="58"/>
      <c r="U13" s="1"/>
      <c r="V13" s="1"/>
    </row>
    <row r="14" spans="1:22">
      <c r="A14" s="1"/>
      <c r="B14" s="1"/>
      <c r="C14" s="1"/>
      <c r="D14" s="1"/>
      <c r="E14" s="1"/>
      <c r="F14" s="1"/>
      <c r="G14" s="1"/>
      <c r="H14" s="1"/>
      <c r="I14" s="1"/>
      <c r="J14" s="1"/>
      <c r="K14" s="76">
        <v>12</v>
      </c>
      <c r="L14" s="81">
        <v>1.2470833333333331E-3</v>
      </c>
      <c r="M14" s="83" t="s">
        <v>114</v>
      </c>
      <c r="N14" s="77">
        <v>1.2480787037037037E-3</v>
      </c>
      <c r="O14" s="83" t="s">
        <v>114</v>
      </c>
      <c r="P14" s="81">
        <v>1.2462037037037036E-3</v>
      </c>
      <c r="Q14" s="83" t="s">
        <v>114</v>
      </c>
      <c r="R14" s="81">
        <v>1.2462037037037036E-3</v>
      </c>
      <c r="S14" s="1"/>
      <c r="T14" s="1"/>
      <c r="U14" s="1"/>
      <c r="V14" s="1"/>
    </row>
    <row r="15" spans="1:22">
      <c r="A15" s="1"/>
      <c r="B15" s="1"/>
      <c r="C15" s="1"/>
      <c r="D15" s="1"/>
      <c r="E15" s="1"/>
      <c r="F15" s="1"/>
      <c r="G15" s="1"/>
      <c r="H15" s="1"/>
      <c r="I15" s="1"/>
      <c r="J15" s="1"/>
      <c r="K15" s="76">
        <v>13</v>
      </c>
      <c r="L15" s="81">
        <v>1.236238425925926E-3</v>
      </c>
      <c r="M15" s="87" t="s">
        <v>115</v>
      </c>
      <c r="N15" s="77">
        <v>1.241701388888889E-3</v>
      </c>
      <c r="O15" s="87" t="s">
        <v>115</v>
      </c>
      <c r="P15" s="81">
        <v>1.2494560185185185E-3</v>
      </c>
      <c r="Q15" s="83" t="s">
        <v>115</v>
      </c>
      <c r="R15" s="81">
        <v>1.2494560185185185E-3</v>
      </c>
      <c r="S15" s="1"/>
      <c r="T15" s="1"/>
      <c r="U15" s="1"/>
      <c r="V15" s="1"/>
    </row>
    <row r="16" spans="1:22">
      <c r="A16" s="1"/>
      <c r="B16" s="1"/>
      <c r="C16" s="1"/>
      <c r="D16" s="1"/>
      <c r="E16" s="1"/>
      <c r="F16" s="1"/>
      <c r="G16" s="1"/>
      <c r="H16" s="1"/>
      <c r="I16" s="1"/>
      <c r="J16" s="1"/>
      <c r="K16" s="76">
        <v>14</v>
      </c>
      <c r="L16" s="81">
        <v>1.2310648148148148E-3</v>
      </c>
      <c r="M16" s="88" t="s">
        <v>116</v>
      </c>
      <c r="N16" s="77">
        <v>1.2480208333333334E-3</v>
      </c>
      <c r="O16" s="88" t="s">
        <v>116</v>
      </c>
      <c r="P16" s="81">
        <v>1.2403703703703704E-3</v>
      </c>
      <c r="Q16" s="83" t="s">
        <v>116</v>
      </c>
      <c r="R16" s="81">
        <v>1.2403703703703704E-3</v>
      </c>
      <c r="S16" s="1"/>
      <c r="T16" s="1"/>
      <c r="U16" s="1"/>
      <c r="V16" s="1"/>
    </row>
    <row r="17" spans="1:24">
      <c r="A17" s="1"/>
      <c r="B17" s="1"/>
      <c r="C17" s="1"/>
      <c r="D17" s="1"/>
      <c r="E17" s="1"/>
      <c r="F17" s="1"/>
      <c r="G17" s="1"/>
      <c r="H17" s="1"/>
      <c r="I17" s="1"/>
      <c r="J17" s="1"/>
      <c r="K17" s="79">
        <v>15</v>
      </c>
      <c r="L17" s="82">
        <v>1.2800810185185185E-3</v>
      </c>
      <c r="M17" s="85" t="s">
        <v>117</v>
      </c>
      <c r="N17" s="80">
        <v>1.2779629629629629E-3</v>
      </c>
      <c r="O17" s="85" t="s">
        <v>117</v>
      </c>
      <c r="P17" s="82">
        <v>1.2507638888888889E-3</v>
      </c>
      <c r="Q17" s="85" t="s">
        <v>117</v>
      </c>
      <c r="R17" s="82">
        <v>1.2507638888888889E-3</v>
      </c>
      <c r="S17" s="1"/>
      <c r="T17" s="1"/>
      <c r="U17" s="1"/>
      <c r="V17" s="1"/>
      <c r="W17" s="1"/>
      <c r="X17" s="1"/>
    </row>
    <row r="18" spans="1:2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58">
        <f>+AVERAGE(L3:L10,L14:L17)</f>
        <v>1.2562307098765433E-3</v>
      </c>
      <c r="M19" s="75"/>
      <c r="N19" s="58">
        <f>+AVERAGE(N3:N10,N14:N17)</f>
        <v>1.2587731481481482E-3</v>
      </c>
      <c r="O19" s="1"/>
      <c r="P19" s="58">
        <f>+AVERAGE(P3:P10,P14:P17)</f>
        <v>1.2757648533950618E-3</v>
      </c>
      <c r="Q19" s="75"/>
      <c r="R19" s="58">
        <f>+AVERAGE(R3:R10,R14:R17)</f>
        <v>1.2757648533950618E-3</v>
      </c>
      <c r="S19" s="1"/>
      <c r="T19" s="1"/>
      <c r="U19" s="1"/>
      <c r="V19" s="1"/>
      <c r="W19" s="1"/>
      <c r="X19" s="1"/>
    </row>
    <row r="20" spans="1:2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5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89">
        <f>+AVERAGE(L19:L20)</f>
        <v>1.2562307098765433E-3</v>
      </c>
      <c r="M21" s="90"/>
      <c r="N21" s="91">
        <f>+SUM(N19-L19)</f>
        <v>2.5424382716048976E-6</v>
      </c>
      <c r="O21" s="1"/>
      <c r="P21" s="91">
        <f>+SUM(P19-L19)</f>
        <v>1.9534143518518555E-5</v>
      </c>
      <c r="Q21" s="90"/>
      <c r="R21" s="91">
        <f>+SUM(R19-L19)</f>
        <v>1.9534143518518555E-5</v>
      </c>
      <c r="S21" s="1"/>
      <c r="T21" s="1"/>
      <c r="U21" s="1"/>
      <c r="V21" s="1"/>
      <c r="W21" s="1"/>
      <c r="X21" s="1"/>
    </row>
    <row r="22" spans="1:2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 t="s">
        <v>118</v>
      </c>
      <c r="B24" s="1"/>
      <c r="C24" s="1"/>
      <c r="D24" s="1"/>
      <c r="E24" s="1"/>
      <c r="F24" s="1"/>
      <c r="G24" s="1"/>
      <c r="H24" s="1"/>
      <c r="I24" s="1"/>
      <c r="J24" s="1"/>
      <c r="K24" s="1" t="s">
        <v>118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34.5">
      <c r="A25" s="124" t="s">
        <v>119</v>
      </c>
      <c r="B25" s="124"/>
      <c r="C25" s="124"/>
      <c r="D25" s="124"/>
      <c r="E25" s="124"/>
      <c r="F25" s="124"/>
      <c r="G25" s="124"/>
      <c r="H25" s="124"/>
      <c r="I25" s="101"/>
      <c r="J25" s="1"/>
      <c r="K25" s="124" t="s">
        <v>120</v>
      </c>
      <c r="L25" s="124"/>
      <c r="M25" s="124"/>
      <c r="N25" s="124"/>
      <c r="O25" s="124"/>
      <c r="P25" s="124"/>
      <c r="Q25" s="124"/>
      <c r="R25" s="124"/>
      <c r="S25" s="1"/>
      <c r="T25" s="1"/>
      <c r="U25" s="1"/>
      <c r="V25" s="1"/>
      <c r="W25" s="1"/>
      <c r="X25" s="1"/>
    </row>
    <row r="26" spans="1:24" s="1" customFormat="1">
      <c r="A26" s="129" t="s">
        <v>38</v>
      </c>
      <c r="B26" s="130"/>
      <c r="C26" s="129" t="s">
        <v>38</v>
      </c>
      <c r="D26" s="130"/>
      <c r="E26" s="129" t="s">
        <v>38</v>
      </c>
      <c r="F26" s="130"/>
      <c r="G26" s="129" t="s">
        <v>38</v>
      </c>
      <c r="H26" s="130"/>
      <c r="K26" s="129" t="s">
        <v>38</v>
      </c>
      <c r="L26" s="130"/>
      <c r="M26" s="129" t="s">
        <v>38</v>
      </c>
      <c r="N26" s="130"/>
      <c r="O26" s="129" t="s">
        <v>38</v>
      </c>
      <c r="P26" s="130"/>
      <c r="Q26" s="129" t="s">
        <v>38</v>
      </c>
      <c r="R26" s="130"/>
    </row>
    <row r="27" spans="1:24">
      <c r="A27" s="125" t="s">
        <v>121</v>
      </c>
      <c r="B27" s="126"/>
      <c r="C27" s="125" t="s">
        <v>122</v>
      </c>
      <c r="D27" s="126"/>
      <c r="E27" s="127" t="s">
        <v>123</v>
      </c>
      <c r="F27" s="128"/>
      <c r="G27" s="125" t="s">
        <v>124</v>
      </c>
      <c r="H27" s="126"/>
      <c r="I27" s="1"/>
      <c r="J27" s="1"/>
      <c r="K27" s="125" t="s">
        <v>99</v>
      </c>
      <c r="L27" s="126"/>
      <c r="M27" s="125" t="s">
        <v>100</v>
      </c>
      <c r="N27" s="126"/>
      <c r="O27" s="127" t="s">
        <v>101</v>
      </c>
      <c r="P27" s="128"/>
      <c r="Q27" s="125" t="s">
        <v>102</v>
      </c>
      <c r="R27" s="126"/>
      <c r="S27" s="1"/>
      <c r="T27" s="1"/>
      <c r="U27" s="1"/>
      <c r="V27" s="1"/>
      <c r="W27" s="1"/>
      <c r="X27" s="1"/>
    </row>
    <row r="28" spans="1:24">
      <c r="A28" s="132">
        <v>1</v>
      </c>
      <c r="B28" s="131">
        <v>1.1538888888888888E-3</v>
      </c>
      <c r="C28" s="132">
        <v>1</v>
      </c>
      <c r="D28" s="131">
        <v>1.1476041666666666E-3</v>
      </c>
      <c r="E28" s="132">
        <v>1</v>
      </c>
      <c r="F28" s="131">
        <v>1.1644560185185187E-3</v>
      </c>
      <c r="G28" s="97">
        <v>1</v>
      </c>
      <c r="H28" s="98">
        <v>1.1644560185185187E-3</v>
      </c>
      <c r="I28" s="1"/>
      <c r="J28" s="1"/>
      <c r="K28" s="133">
        <v>1</v>
      </c>
      <c r="L28" s="134">
        <v>1.4355671296296297E-3</v>
      </c>
      <c r="M28" s="133">
        <v>1</v>
      </c>
      <c r="N28" s="134">
        <v>1.4123148148148148E-3</v>
      </c>
      <c r="O28" s="93">
        <v>1</v>
      </c>
      <c r="P28" s="94">
        <v>1.4081597222222223E-3</v>
      </c>
      <c r="Q28" s="133">
        <v>1</v>
      </c>
      <c r="R28" s="134">
        <v>1.4081597222222223E-3</v>
      </c>
      <c r="S28" s="92"/>
      <c r="T28" s="1"/>
      <c r="U28" s="1"/>
      <c r="V28" s="1"/>
      <c r="W28" s="1"/>
      <c r="X28" s="1"/>
    </row>
    <row r="29" spans="1:24">
      <c r="A29" s="132">
        <v>2</v>
      </c>
      <c r="B29" s="131">
        <v>1.1098379629629629E-3</v>
      </c>
      <c r="C29" s="132">
        <v>2</v>
      </c>
      <c r="D29" s="131">
        <v>1.1111458333333333E-3</v>
      </c>
      <c r="E29" s="132">
        <v>2</v>
      </c>
      <c r="F29" s="131">
        <v>1.1378703703703703E-3</v>
      </c>
      <c r="G29" s="97">
        <v>2</v>
      </c>
      <c r="H29" s="98">
        <v>1.1378703703703703E-3</v>
      </c>
      <c r="I29" s="1"/>
      <c r="J29" s="1"/>
      <c r="K29" s="133">
        <v>2</v>
      </c>
      <c r="L29" s="134">
        <v>1.1143287037037035E-3</v>
      </c>
      <c r="M29" s="133">
        <v>2</v>
      </c>
      <c r="N29" s="134">
        <v>1.1365393518518519E-3</v>
      </c>
      <c r="O29" s="93">
        <v>2</v>
      </c>
      <c r="P29" s="94">
        <v>1.1394212962962964E-3</v>
      </c>
      <c r="Q29" s="133">
        <v>2</v>
      </c>
      <c r="R29" s="134">
        <v>1.1394212962962964E-3</v>
      </c>
      <c r="S29" s="1"/>
      <c r="T29" s="1"/>
      <c r="U29" s="1"/>
      <c r="V29" s="1"/>
      <c r="W29" s="1"/>
      <c r="X29" s="1"/>
    </row>
    <row r="30" spans="1:24">
      <c r="A30" s="132">
        <v>3</v>
      </c>
      <c r="B30" s="131">
        <v>1.110173611111111E-3</v>
      </c>
      <c r="C30" s="132">
        <v>3</v>
      </c>
      <c r="D30" s="131">
        <v>1.0993171296296296E-3</v>
      </c>
      <c r="E30" s="132">
        <v>3</v>
      </c>
      <c r="F30" s="131">
        <v>1.1312268518518518E-3</v>
      </c>
      <c r="G30" s="97">
        <v>3</v>
      </c>
      <c r="H30" s="98">
        <v>1.1312268518518518E-3</v>
      </c>
      <c r="I30" s="1"/>
      <c r="J30" s="1"/>
      <c r="K30" s="133">
        <v>3</v>
      </c>
      <c r="L30" s="134">
        <v>1.1773726851851852E-3</v>
      </c>
      <c r="M30" s="133">
        <v>3</v>
      </c>
      <c r="N30" s="134">
        <v>1.1328703703703702E-3</v>
      </c>
      <c r="O30" s="93">
        <v>3</v>
      </c>
      <c r="P30" s="94">
        <v>1.1317361111111111E-3</v>
      </c>
      <c r="Q30" s="133">
        <v>3</v>
      </c>
      <c r="R30" s="134">
        <v>1.1317361111111111E-3</v>
      </c>
      <c r="S30" s="1"/>
      <c r="T30" s="1"/>
      <c r="U30" s="1"/>
      <c r="V30" s="1"/>
      <c r="W30" s="1"/>
      <c r="X30" s="1"/>
    </row>
    <row r="31" spans="1:24">
      <c r="A31" s="132">
        <v>4</v>
      </c>
      <c r="B31" s="131">
        <v>1.1127083333333334E-3</v>
      </c>
      <c r="C31" s="132">
        <v>4</v>
      </c>
      <c r="D31" s="131">
        <v>1.0976736111111111E-3</v>
      </c>
      <c r="E31" s="132">
        <v>4</v>
      </c>
      <c r="F31" s="131">
        <v>1.1532986111111112E-3</v>
      </c>
      <c r="G31" s="97">
        <v>4</v>
      </c>
      <c r="H31" s="98">
        <v>1.1532986111111112E-3</v>
      </c>
      <c r="I31" s="1"/>
      <c r="J31" s="1"/>
      <c r="K31" s="133">
        <v>4</v>
      </c>
      <c r="L31" s="134">
        <v>1.1155787037037037E-3</v>
      </c>
      <c r="M31" s="133">
        <v>4</v>
      </c>
      <c r="N31" s="134">
        <v>1.1118055555555556E-3</v>
      </c>
      <c r="O31" s="93">
        <v>4</v>
      </c>
      <c r="P31" s="94">
        <v>2.0264583333333337E-3</v>
      </c>
      <c r="Q31" s="133">
        <v>4</v>
      </c>
      <c r="R31" s="134">
        <v>2.0264583333333337E-3</v>
      </c>
      <c r="S31" s="1"/>
      <c r="T31" s="1"/>
      <c r="U31" s="1"/>
      <c r="V31" s="1"/>
      <c r="W31" s="1"/>
      <c r="X31" s="1"/>
    </row>
    <row r="32" spans="1:24">
      <c r="A32" s="132">
        <v>5</v>
      </c>
      <c r="B32" s="131">
        <v>1.1121296296296296E-3</v>
      </c>
      <c r="C32" s="132">
        <v>5</v>
      </c>
      <c r="D32" s="131">
        <v>1.1186458333333335E-3</v>
      </c>
      <c r="E32" s="132">
        <v>5</v>
      </c>
      <c r="F32" s="131">
        <v>1.1660416666666668E-3</v>
      </c>
      <c r="G32" s="97">
        <v>5</v>
      </c>
      <c r="H32" s="98">
        <v>1.1660416666666668E-3</v>
      </c>
      <c r="I32" s="1"/>
      <c r="J32" s="1"/>
      <c r="K32" s="133">
        <v>5</v>
      </c>
      <c r="L32" s="134">
        <v>1.1346180555555556E-3</v>
      </c>
      <c r="M32" s="133">
        <v>5</v>
      </c>
      <c r="N32" s="134">
        <v>1.0958333333333334E-3</v>
      </c>
      <c r="O32" s="93">
        <v>5</v>
      </c>
      <c r="P32" s="94">
        <v>1.198900462962963E-3</v>
      </c>
      <c r="Q32" s="133">
        <v>5</v>
      </c>
      <c r="R32" s="134">
        <v>1.198900462962963E-3</v>
      </c>
      <c r="S32" s="1"/>
      <c r="T32" s="1"/>
      <c r="U32" s="1"/>
      <c r="V32" s="1"/>
      <c r="W32" s="58">
        <f>+SUM(D52*1.15)</f>
        <v>1.2835391865079365E-3</v>
      </c>
      <c r="X32" s="1"/>
    </row>
    <row r="33" spans="1:24">
      <c r="A33" s="132">
        <v>6</v>
      </c>
      <c r="B33" s="131">
        <v>1.1231828703703705E-3</v>
      </c>
      <c r="C33" s="132">
        <v>6</v>
      </c>
      <c r="D33" s="131">
        <v>1.1192708333333332E-3</v>
      </c>
      <c r="E33" s="132">
        <v>6</v>
      </c>
      <c r="F33" s="131">
        <v>1.1783333333333333E-3</v>
      </c>
      <c r="G33" s="97">
        <v>6</v>
      </c>
      <c r="H33" s="98">
        <v>1.1783333333333333E-3</v>
      </c>
      <c r="I33" s="1"/>
      <c r="J33" s="1"/>
      <c r="K33" s="133">
        <v>6</v>
      </c>
      <c r="L33" s="134">
        <v>1.1811458333333333E-3</v>
      </c>
      <c r="M33" s="133">
        <v>6</v>
      </c>
      <c r="N33" s="134">
        <v>1.1103587962962964E-3</v>
      </c>
      <c r="O33" s="93">
        <v>6</v>
      </c>
      <c r="P33" s="94">
        <v>1.3676157407407409E-3</v>
      </c>
      <c r="Q33" s="133">
        <v>6</v>
      </c>
      <c r="R33" s="134">
        <v>1.3676157407407409E-3</v>
      </c>
      <c r="S33" s="1"/>
      <c r="T33" s="1"/>
      <c r="U33" s="1"/>
      <c r="V33" s="1"/>
      <c r="W33" s="1"/>
      <c r="X33" s="1"/>
    </row>
    <row r="34" spans="1:24">
      <c r="A34" s="132">
        <v>7</v>
      </c>
      <c r="B34" s="131">
        <v>1.1183564814814815E-3</v>
      </c>
      <c r="C34" s="132">
        <v>7</v>
      </c>
      <c r="D34" s="131">
        <v>1.1119675925925926E-3</v>
      </c>
      <c r="E34" s="132">
        <v>7</v>
      </c>
      <c r="F34" s="131">
        <v>1.1461342592592593E-3</v>
      </c>
      <c r="G34" s="97">
        <v>7</v>
      </c>
      <c r="H34" s="98">
        <v>1.1461342592592593E-3</v>
      </c>
      <c r="I34" s="1"/>
      <c r="J34" s="1"/>
      <c r="K34" s="133">
        <v>7</v>
      </c>
      <c r="L34" s="134">
        <v>1.1964467592592591E-3</v>
      </c>
      <c r="M34" s="133">
        <v>7</v>
      </c>
      <c r="N34" s="134">
        <v>1.1330787037037036E-3</v>
      </c>
      <c r="O34" s="93">
        <v>7</v>
      </c>
      <c r="P34" s="94">
        <v>1.2607407407407407E-3</v>
      </c>
      <c r="Q34" s="133">
        <v>7</v>
      </c>
      <c r="R34" s="134">
        <v>1.2607407407407407E-3</v>
      </c>
      <c r="S34" s="1"/>
      <c r="T34" s="1"/>
      <c r="U34" s="1"/>
      <c r="V34" s="1"/>
      <c r="W34" s="1"/>
      <c r="X34" s="1"/>
    </row>
    <row r="35" spans="1:24">
      <c r="A35" s="132">
        <v>8</v>
      </c>
      <c r="B35" s="131">
        <v>1.124398148148148E-3</v>
      </c>
      <c r="C35" s="132">
        <v>8</v>
      </c>
      <c r="D35" s="131">
        <v>1.1048148148148148E-3</v>
      </c>
      <c r="E35" s="132">
        <v>8</v>
      </c>
      <c r="F35" s="131">
        <v>1.2261226851851851E-3</v>
      </c>
      <c r="G35" s="97">
        <v>8</v>
      </c>
      <c r="H35" s="98">
        <v>1.2261226851851851E-3</v>
      </c>
      <c r="I35" s="1"/>
      <c r="J35" s="1"/>
      <c r="K35" s="133">
        <v>8</v>
      </c>
      <c r="L35" s="134">
        <v>1.1544097222222223E-3</v>
      </c>
      <c r="M35" s="133">
        <v>8</v>
      </c>
      <c r="N35" s="134">
        <v>1.1489930555555554E-3</v>
      </c>
      <c r="O35" s="93">
        <v>8</v>
      </c>
      <c r="P35" s="94">
        <v>1.1238657407407408E-3</v>
      </c>
      <c r="Q35" s="133">
        <v>8</v>
      </c>
      <c r="R35" s="134">
        <v>1.1238657407407408E-3</v>
      </c>
      <c r="S35" s="1"/>
      <c r="T35" s="1"/>
      <c r="U35" s="1"/>
      <c r="V35" s="1"/>
      <c r="W35" s="58">
        <f>+SUM(F50*1.05)</f>
        <v>1.2315920138888891E-3</v>
      </c>
      <c r="X35" s="1"/>
    </row>
    <row r="36" spans="1:24">
      <c r="A36" s="132">
        <v>9</v>
      </c>
      <c r="B36" s="131">
        <v>1.2592476851851853E-3</v>
      </c>
      <c r="C36" s="132">
        <v>9</v>
      </c>
      <c r="D36" s="131">
        <v>1.0967939814814816E-3</v>
      </c>
      <c r="E36" s="132">
        <v>9</v>
      </c>
      <c r="F36" s="131">
        <v>1.1561111111111112E-3</v>
      </c>
      <c r="G36" s="97">
        <v>9</v>
      </c>
      <c r="H36" s="98">
        <v>1.1561111111111112E-3</v>
      </c>
      <c r="I36" s="1"/>
      <c r="J36" s="1"/>
      <c r="K36" s="133">
        <v>9</v>
      </c>
      <c r="L36" s="134">
        <v>1.2505092592592592E-3</v>
      </c>
      <c r="M36" s="133">
        <v>9</v>
      </c>
      <c r="N36" s="134">
        <v>1.1331134259259261E-3</v>
      </c>
      <c r="O36" s="93">
        <v>9</v>
      </c>
      <c r="P36" s="94">
        <v>1.2741203703703703E-3</v>
      </c>
      <c r="Q36" s="133">
        <v>9</v>
      </c>
      <c r="R36" s="134">
        <v>1.2741203703703703E-3</v>
      </c>
      <c r="S36" s="1"/>
      <c r="T36" s="1"/>
      <c r="U36" s="1"/>
      <c r="V36" s="1"/>
      <c r="W36" s="1"/>
      <c r="X36" s="1"/>
    </row>
    <row r="37" spans="1:24">
      <c r="A37" s="132">
        <v>10</v>
      </c>
      <c r="B37" s="131">
        <v>1.1363194444444444E-3</v>
      </c>
      <c r="C37" s="132">
        <v>10</v>
      </c>
      <c r="D37" s="131">
        <v>1.1534143518518519E-3</v>
      </c>
      <c r="E37" s="132">
        <v>10</v>
      </c>
      <c r="F37" s="131">
        <v>1.1621296296296297E-3</v>
      </c>
      <c r="G37" s="97">
        <v>10</v>
      </c>
      <c r="H37" s="98">
        <v>1.1621296296296297E-3</v>
      </c>
      <c r="I37" s="1"/>
      <c r="J37" s="1"/>
      <c r="K37" s="133">
        <v>10</v>
      </c>
      <c r="L37" s="134">
        <v>1.1465856481481481E-3</v>
      </c>
      <c r="M37" s="133">
        <v>10</v>
      </c>
      <c r="N37" s="134">
        <v>1.1556481481481481E-3</v>
      </c>
      <c r="O37" s="93">
        <v>10</v>
      </c>
      <c r="P37" s="94">
        <v>1.1596180555555557E-3</v>
      </c>
      <c r="Q37" s="133">
        <v>10</v>
      </c>
      <c r="R37" s="134">
        <v>1.1596180555555557E-3</v>
      </c>
      <c r="S37" s="1"/>
      <c r="T37" s="1"/>
      <c r="U37" s="1"/>
      <c r="V37" s="1"/>
      <c r="W37" s="1"/>
      <c r="X37" s="1"/>
    </row>
    <row r="38" spans="1:24">
      <c r="A38" s="132">
        <v>11</v>
      </c>
      <c r="B38" s="131">
        <v>1.3982291666666668E-3</v>
      </c>
      <c r="C38" s="132">
        <v>11</v>
      </c>
      <c r="D38" s="131">
        <v>1.2330902777777778E-3</v>
      </c>
      <c r="E38" s="132">
        <v>11</v>
      </c>
      <c r="F38" s="131">
        <v>1.2419907407407406E-3</v>
      </c>
      <c r="G38" s="97">
        <v>11</v>
      </c>
      <c r="H38" s="98">
        <v>1.2419907407407406E-3</v>
      </c>
      <c r="I38" s="1"/>
      <c r="J38" s="1"/>
      <c r="K38" s="133">
        <v>11</v>
      </c>
      <c r="L38" s="134">
        <v>1.1611226851851852E-3</v>
      </c>
      <c r="M38" s="133">
        <v>11</v>
      </c>
      <c r="N38" s="134">
        <v>1.2279976851851851E-3</v>
      </c>
      <c r="O38" s="93">
        <v>11</v>
      </c>
      <c r="P38" s="94">
        <v>2.1243171296296296E-3</v>
      </c>
      <c r="Q38" s="133">
        <v>11</v>
      </c>
      <c r="R38" s="134">
        <v>2.1243171296296296E-3</v>
      </c>
      <c r="S38" s="1"/>
      <c r="T38" s="1"/>
      <c r="U38" s="1"/>
      <c r="V38" s="1"/>
      <c r="W38" s="58"/>
      <c r="X38" s="1"/>
    </row>
    <row r="39" spans="1:24">
      <c r="A39" s="132">
        <v>12</v>
      </c>
      <c r="B39" s="131">
        <v>1.5461458333333332E-3</v>
      </c>
      <c r="C39" s="132">
        <v>12</v>
      </c>
      <c r="D39" s="131">
        <v>1.9078009259259261E-3</v>
      </c>
      <c r="E39" s="132">
        <v>12</v>
      </c>
      <c r="F39" s="131">
        <v>1.4453819444444444E-3</v>
      </c>
      <c r="G39" s="97">
        <v>12</v>
      </c>
      <c r="H39" s="98">
        <v>1.4453819444444444E-3</v>
      </c>
      <c r="I39" s="1"/>
      <c r="J39" s="1"/>
      <c r="K39" s="133">
        <v>12</v>
      </c>
      <c r="L39" s="134">
        <v>1.3398611111111113E-3</v>
      </c>
      <c r="M39" s="133">
        <v>12</v>
      </c>
      <c r="N39" s="134">
        <v>1.310949074074074E-3</v>
      </c>
      <c r="O39" s="93">
        <v>12</v>
      </c>
      <c r="P39" s="94">
        <v>1.4692245370370371E-3</v>
      </c>
      <c r="Q39" s="133">
        <v>12</v>
      </c>
      <c r="R39" s="134">
        <v>1.4692245370370371E-3</v>
      </c>
      <c r="S39" s="1"/>
      <c r="T39" s="1"/>
      <c r="U39" s="1"/>
      <c r="V39" s="1"/>
      <c r="W39" s="58">
        <f>+SUM(F54*1.1)</f>
        <v>1.2443495370370371E-3</v>
      </c>
      <c r="X39" s="1"/>
    </row>
    <row r="40" spans="1:24">
      <c r="A40" s="132">
        <v>13</v>
      </c>
      <c r="B40" s="131">
        <v>1.2216550925925925E-3</v>
      </c>
      <c r="C40" s="132">
        <v>13</v>
      </c>
      <c r="D40" s="131">
        <v>1.2544560185185185E-3</v>
      </c>
      <c r="E40" s="132">
        <v>13</v>
      </c>
      <c r="F40" s="131">
        <v>1.2557175925925926E-3</v>
      </c>
      <c r="G40" s="97">
        <v>13</v>
      </c>
      <c r="H40" s="98">
        <v>1.2557175925925926E-3</v>
      </c>
      <c r="I40" s="1"/>
      <c r="J40" s="1"/>
      <c r="K40" s="133">
        <v>13</v>
      </c>
      <c r="L40" s="134">
        <v>3.8921759259259257E-3</v>
      </c>
      <c r="M40" s="133">
        <v>13</v>
      </c>
      <c r="N40" s="134">
        <v>4.1754282407407408E-3</v>
      </c>
      <c r="O40" s="93">
        <v>13</v>
      </c>
      <c r="P40" s="94">
        <v>1.6091435185185184E-3</v>
      </c>
      <c r="Q40" s="133">
        <v>13</v>
      </c>
      <c r="R40" s="134">
        <v>1.6091435185185184E-3</v>
      </c>
      <c r="S40" s="1"/>
      <c r="T40" s="1"/>
      <c r="U40" s="1"/>
      <c r="V40" s="1"/>
      <c r="W40" s="1"/>
      <c r="X40" s="1"/>
    </row>
    <row r="41" spans="1:24">
      <c r="A41" s="132">
        <v>14</v>
      </c>
      <c r="B41" s="131">
        <v>1.1457523148148147E-3</v>
      </c>
      <c r="C41" s="132">
        <v>14</v>
      </c>
      <c r="D41" s="131">
        <v>1.1745949074074074E-3</v>
      </c>
      <c r="E41" s="132">
        <v>14</v>
      </c>
      <c r="F41" s="131">
        <v>1.1743055555555556E-3</v>
      </c>
      <c r="G41" s="97">
        <v>14</v>
      </c>
      <c r="H41" s="98">
        <v>1.1743055555555556E-3</v>
      </c>
      <c r="I41" s="1"/>
      <c r="J41" s="1"/>
      <c r="K41" s="133">
        <v>14</v>
      </c>
      <c r="L41" s="134">
        <v>1.1608564814814815E-3</v>
      </c>
      <c r="M41" s="133">
        <v>14</v>
      </c>
      <c r="N41" s="134">
        <v>1.1806365740740742E-3</v>
      </c>
      <c r="O41" s="93">
        <v>14</v>
      </c>
      <c r="P41" s="94">
        <v>1.1635069444444444E-3</v>
      </c>
      <c r="Q41" s="133">
        <v>14</v>
      </c>
      <c r="R41" s="134">
        <v>1.1635069444444444E-3</v>
      </c>
      <c r="S41" s="1"/>
      <c r="T41" s="1"/>
      <c r="U41" s="1"/>
      <c r="V41" s="1"/>
      <c r="W41" s="1"/>
      <c r="X41" s="1"/>
    </row>
    <row r="42" spans="1:24">
      <c r="A42" s="132">
        <v>15</v>
      </c>
      <c r="B42" s="131">
        <v>1.5789930555555557E-3</v>
      </c>
      <c r="C42" s="132">
        <v>15</v>
      </c>
      <c r="D42" s="131">
        <v>1.544236111111111E-3</v>
      </c>
      <c r="E42" s="132">
        <v>15</v>
      </c>
      <c r="F42" s="131">
        <v>1.5701967592592592E-3</v>
      </c>
      <c r="G42" s="97">
        <v>15</v>
      </c>
      <c r="H42" s="98">
        <v>1.5701967592592592E-3</v>
      </c>
      <c r="I42" s="1"/>
      <c r="J42" s="1"/>
      <c r="K42" s="133">
        <v>15</v>
      </c>
      <c r="L42" s="134">
        <v>1.1989930555555556E-3</v>
      </c>
      <c r="M42" s="133">
        <v>15</v>
      </c>
      <c r="N42" s="134">
        <v>1.1869444444444445E-3</v>
      </c>
      <c r="O42" s="93">
        <v>15</v>
      </c>
      <c r="P42" s="94">
        <v>1.1449421296296297E-3</v>
      </c>
      <c r="Q42" s="133">
        <v>15</v>
      </c>
      <c r="R42" s="134">
        <v>1.1449421296296297E-3</v>
      </c>
      <c r="S42" s="1"/>
      <c r="T42" s="1"/>
      <c r="U42" s="1"/>
      <c r="V42" s="1"/>
      <c r="W42" s="1"/>
      <c r="X42" s="1"/>
    </row>
    <row r="43" spans="1:24">
      <c r="A43" s="132">
        <v>16</v>
      </c>
      <c r="B43" s="131">
        <v>1.1158217592592591E-3</v>
      </c>
      <c r="C43" s="132">
        <v>16</v>
      </c>
      <c r="D43" s="131">
        <v>1.1127083333333334E-3</v>
      </c>
      <c r="E43" s="132">
        <v>16</v>
      </c>
      <c r="F43" s="131">
        <v>1.2513888888888889E-3</v>
      </c>
      <c r="G43" s="97">
        <v>16</v>
      </c>
      <c r="H43" s="98">
        <v>1.2513888888888889E-3</v>
      </c>
      <c r="I43" s="1"/>
      <c r="J43" s="1"/>
      <c r="K43" s="133">
        <v>16</v>
      </c>
      <c r="L43" s="134">
        <v>1.1175E-3</v>
      </c>
      <c r="M43" s="133">
        <v>16</v>
      </c>
      <c r="N43" s="134">
        <v>1.1115046296296296E-3</v>
      </c>
      <c r="O43" s="93">
        <v>16</v>
      </c>
      <c r="P43" s="94">
        <v>1.140324074074074E-3</v>
      </c>
      <c r="Q43" s="133">
        <v>16</v>
      </c>
      <c r="R43" s="134">
        <v>1.140324074074074E-3</v>
      </c>
      <c r="S43" s="1"/>
      <c r="T43" s="1"/>
      <c r="U43" s="1"/>
      <c r="V43" s="1"/>
      <c r="W43" s="1"/>
      <c r="X43" s="1"/>
    </row>
    <row r="44" spans="1:24">
      <c r="A44" s="132">
        <v>17</v>
      </c>
      <c r="B44" s="131">
        <v>1.1162731481481481E-3</v>
      </c>
      <c r="C44" s="132">
        <v>17</v>
      </c>
      <c r="D44" s="131">
        <v>1.1204629629629629E-3</v>
      </c>
      <c r="E44" s="132">
        <v>17</v>
      </c>
      <c r="F44" s="131">
        <v>1.1524421296296296E-3</v>
      </c>
      <c r="G44" s="97">
        <v>17</v>
      </c>
      <c r="H44" s="98">
        <v>1.1524421296296296E-3</v>
      </c>
      <c r="I44" s="1"/>
      <c r="J44" s="1"/>
      <c r="K44" s="133">
        <v>17</v>
      </c>
      <c r="L44" s="134">
        <v>1.133587962962963E-3</v>
      </c>
      <c r="M44" s="133">
        <v>17</v>
      </c>
      <c r="N44" s="134">
        <v>1.1427777777777777E-3</v>
      </c>
      <c r="O44" s="93">
        <v>17</v>
      </c>
      <c r="P44" s="94">
        <v>1.1632407407407407E-3</v>
      </c>
      <c r="Q44" s="133">
        <v>17</v>
      </c>
      <c r="R44" s="134">
        <v>1.1632407407407407E-3</v>
      </c>
      <c r="S44" s="58"/>
      <c r="T44" s="1"/>
      <c r="U44" s="1"/>
      <c r="V44" s="1"/>
      <c r="W44" s="1"/>
      <c r="X44" s="1"/>
    </row>
    <row r="45" spans="1:24">
      <c r="A45" s="132">
        <v>18</v>
      </c>
      <c r="B45" s="131">
        <v>1.114398148148148E-3</v>
      </c>
      <c r="C45" s="132">
        <v>18</v>
      </c>
      <c r="D45" s="131">
        <v>1.1069444444444445E-3</v>
      </c>
      <c r="E45" s="132">
        <v>18</v>
      </c>
      <c r="F45" s="131">
        <v>1.1676157407407408E-3</v>
      </c>
      <c r="G45" s="97">
        <v>18</v>
      </c>
      <c r="H45" s="98">
        <v>1.1676157407407408E-3</v>
      </c>
      <c r="I45" s="1"/>
      <c r="J45" s="1"/>
      <c r="K45" s="133">
        <v>18</v>
      </c>
      <c r="L45" s="134">
        <v>1.1378240740740741E-3</v>
      </c>
      <c r="M45" s="133">
        <v>18</v>
      </c>
      <c r="N45" s="134">
        <v>1.1362962962962963E-3</v>
      </c>
      <c r="O45" s="93">
        <v>18</v>
      </c>
      <c r="P45" s="94">
        <v>1.1319444444444443E-3</v>
      </c>
      <c r="Q45" s="133">
        <v>18</v>
      </c>
      <c r="R45" s="134">
        <v>1.1319444444444443E-3</v>
      </c>
      <c r="S45" s="58"/>
      <c r="T45" s="1"/>
      <c r="U45" s="1"/>
      <c r="V45" s="1"/>
      <c r="W45" s="1"/>
      <c r="X45" s="1"/>
    </row>
    <row r="46" spans="1:24">
      <c r="A46" s="132">
        <v>19</v>
      </c>
      <c r="B46" s="131">
        <v>1.1236805555555555E-3</v>
      </c>
      <c r="C46" s="132">
        <v>19</v>
      </c>
      <c r="D46" s="131">
        <v>1.1092129629629629E-3</v>
      </c>
      <c r="E46" s="132">
        <v>19</v>
      </c>
      <c r="F46" s="131">
        <v>1.1594328703703703E-3</v>
      </c>
      <c r="G46" s="97">
        <v>19</v>
      </c>
      <c r="H46" s="98">
        <v>1.1594328703703703E-3</v>
      </c>
      <c r="I46" s="1"/>
      <c r="J46" s="1"/>
      <c r="K46" s="133">
        <v>19</v>
      </c>
      <c r="L46" s="134">
        <v>1.1439699074074073E-3</v>
      </c>
      <c r="M46" s="133">
        <v>19</v>
      </c>
      <c r="N46" s="134">
        <v>1.1471990740740739E-3</v>
      </c>
      <c r="O46" s="93">
        <v>19</v>
      </c>
      <c r="P46" s="94">
        <v>1.149375E-3</v>
      </c>
      <c r="Q46" s="133">
        <v>19</v>
      </c>
      <c r="R46" s="134">
        <v>1.149375E-3</v>
      </c>
      <c r="S46" s="58"/>
      <c r="T46" s="1"/>
      <c r="U46" s="1"/>
      <c r="V46" s="1"/>
      <c r="W46" s="58">
        <v>1.0964814814814813E-3</v>
      </c>
      <c r="X46" s="58">
        <f>+SUM(W46*1.05)</f>
        <v>1.1513055555555554E-3</v>
      </c>
    </row>
    <row r="47" spans="1:24">
      <c r="A47" s="132">
        <v>20</v>
      </c>
      <c r="B47" s="131">
        <v>1.1430092592592592E-3</v>
      </c>
      <c r="C47" s="132">
        <v>20</v>
      </c>
      <c r="D47" s="131">
        <v>1.1691319444444444E-3</v>
      </c>
      <c r="E47" s="132">
        <v>20</v>
      </c>
      <c r="F47" s="131">
        <v>1.2307523148148149E-3</v>
      </c>
      <c r="G47" s="97">
        <v>20</v>
      </c>
      <c r="H47" s="98">
        <v>1.2307523148148149E-3</v>
      </c>
      <c r="I47" s="1"/>
      <c r="J47" s="1"/>
      <c r="K47" s="135">
        <v>20</v>
      </c>
      <c r="L47" s="136">
        <v>1.1290277777777778E-3</v>
      </c>
      <c r="M47" s="135">
        <v>20</v>
      </c>
      <c r="N47" s="136">
        <v>1.1019907407407408E-3</v>
      </c>
      <c r="O47" s="95">
        <v>20</v>
      </c>
      <c r="P47" s="96">
        <v>1.1516666666666665E-3</v>
      </c>
      <c r="Q47" s="135">
        <v>20</v>
      </c>
      <c r="R47" s="136">
        <v>1.1516666666666665E-3</v>
      </c>
      <c r="S47" s="1"/>
      <c r="T47" s="1"/>
      <c r="U47" s="1"/>
      <c r="V47" s="1"/>
      <c r="W47" s="1"/>
      <c r="X47" s="58">
        <f>+SUM(W46*1.7)</f>
        <v>1.8640185185185181E-3</v>
      </c>
    </row>
    <row r="48" spans="1:24">
      <c r="A48" s="1"/>
      <c r="B48" s="89"/>
      <c r="C48" s="90"/>
      <c r="D48" s="91"/>
      <c r="E48" s="90"/>
      <c r="F48" s="91"/>
      <c r="G48" s="1"/>
      <c r="H48" s="9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75"/>
      <c r="V48" s="1"/>
      <c r="W48" s="1"/>
      <c r="X48" s="1"/>
    </row>
    <row r="49" spans="1:2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 t="s">
        <v>125</v>
      </c>
      <c r="B50" s="58">
        <f>+AVERAGE(B28:B36,B43:B47)</f>
        <v>1.1312218915343914E-3</v>
      </c>
      <c r="C50" s="1"/>
      <c r="D50" s="58">
        <f>+AVERAGE(D28:D36,D43:D47)</f>
        <v>1.1161210317460319E-3</v>
      </c>
      <c r="E50" s="1"/>
      <c r="F50" s="58">
        <f>+AVERAGE(F28:F36,F43:F47)</f>
        <v>1.1729447751322752E-3</v>
      </c>
      <c r="G50" s="1"/>
      <c r="H50" s="58">
        <f>+AVERAGE(H28:H36,H43:H47)</f>
        <v>1.1729447751322752E-3</v>
      </c>
      <c r="I50" s="1"/>
      <c r="J50" s="1"/>
      <c r="K50" s="1" t="s">
        <v>125</v>
      </c>
      <c r="L50" s="58">
        <f>+AVERAGE(L28:L38,L41:L47)</f>
        <v>1.1716358024691359E-3</v>
      </c>
      <c r="M50" s="1"/>
      <c r="N50" s="58">
        <f>+AVERAGE(N28:N38,N41:N47)</f>
        <v>1.1558834876543207E-3</v>
      </c>
      <c r="O50" s="1"/>
      <c r="P50" s="58">
        <f>+AVERAGE(P28:P38,P41:P47)</f>
        <v>1.2922196502057615E-3</v>
      </c>
      <c r="Q50" s="1"/>
      <c r="R50" s="58">
        <f>+AVERAGE(R28:R38,R41:R47)</f>
        <v>1.2922196502057615E-3</v>
      </c>
      <c r="S50" s="1"/>
      <c r="T50" s="1"/>
      <c r="U50" s="1"/>
      <c r="V50" s="1"/>
      <c r="W50" s="1"/>
      <c r="X50" s="1"/>
    </row>
    <row r="51" spans="1:2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91">
        <f>+SUM(B50-D50)</f>
        <v>1.5100859788359528E-5</v>
      </c>
      <c r="C52" s="90"/>
      <c r="D52" s="58">
        <v>1.1161210317460319E-3</v>
      </c>
      <c r="E52" s="90"/>
      <c r="F52" s="91">
        <f>+SUM(F50-D50)</f>
        <v>5.6823743386243304E-5</v>
      </c>
      <c r="G52" s="1"/>
      <c r="H52" s="91">
        <f>+SUM(H50-D50)</f>
        <v>5.6823743386243304E-5</v>
      </c>
      <c r="I52" s="1"/>
      <c r="J52" s="1"/>
      <c r="K52" s="1"/>
      <c r="L52" s="91">
        <f>+SUM(L50-N50)</f>
        <v>1.5752314814815229E-5</v>
      </c>
      <c r="M52" s="90"/>
      <c r="N52" s="58">
        <v>1.1558834876543207E-3</v>
      </c>
      <c r="O52" s="90"/>
      <c r="P52" s="91">
        <f>+SUM(P50-N50)</f>
        <v>1.3633616255144076E-4</v>
      </c>
      <c r="Q52" s="1"/>
      <c r="R52" s="91">
        <f>+SUM(R50-N50)</f>
        <v>1.3633616255144076E-4</v>
      </c>
      <c r="S52" s="1"/>
      <c r="T52" s="1"/>
      <c r="U52" s="1"/>
      <c r="V52" s="1"/>
      <c r="W52" s="1"/>
      <c r="X52" s="1"/>
    </row>
    <row r="53" spans="1:2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90" t="s">
        <v>126</v>
      </c>
      <c r="B54" s="58">
        <f>+SMALL(B28:B47,1)</f>
        <v>1.1098379629629629E-3</v>
      </c>
      <c r="C54" s="1"/>
      <c r="D54" s="58">
        <f>+SMALL(D28:D47,1)</f>
        <v>1.0967939814814816E-3</v>
      </c>
      <c r="E54" s="1"/>
      <c r="F54" s="58">
        <f>+SMALL(F28:F47,1)</f>
        <v>1.1312268518518518E-3</v>
      </c>
      <c r="G54" s="1"/>
      <c r="H54" s="58">
        <f>+SMALL(H28:H47,1)</f>
        <v>1.1312268518518518E-3</v>
      </c>
      <c r="I54" s="1"/>
      <c r="J54" s="1"/>
      <c r="K54" s="90" t="s">
        <v>126</v>
      </c>
      <c r="L54" s="58">
        <f>+SMALL(L28:L47,1)</f>
        <v>1.1143287037037035E-3</v>
      </c>
      <c r="M54" s="1"/>
      <c r="N54" s="58">
        <f>+SMALL(N28:N47,1)</f>
        <v>1.0958333333333334E-3</v>
      </c>
      <c r="O54" s="1"/>
      <c r="P54" s="58">
        <f>+SMALL(P28:P47,1)</f>
        <v>1.1238657407407408E-3</v>
      </c>
      <c r="Q54" s="1"/>
      <c r="R54" s="58">
        <f>+SMALL(R28:R47,1)</f>
        <v>1.1238657407407408E-3</v>
      </c>
      <c r="S54" s="1"/>
      <c r="T54" s="1"/>
      <c r="U54" s="1"/>
      <c r="V54" s="1"/>
      <c r="W54" s="1"/>
      <c r="X54" s="1"/>
    </row>
    <row r="55" spans="1:2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34.5">
      <c r="A57" s="124" t="s">
        <v>127</v>
      </c>
      <c r="B57" s="124"/>
      <c r="C57" s="124"/>
      <c r="D57" s="124"/>
      <c r="E57" s="124"/>
      <c r="F57" s="124"/>
      <c r="G57" s="124"/>
      <c r="H57" s="124"/>
      <c r="I57" s="1"/>
      <c r="J57" s="1"/>
      <c r="K57" s="124" t="s">
        <v>128</v>
      </c>
      <c r="L57" s="124"/>
      <c r="M57" s="124"/>
      <c r="N57" s="124"/>
      <c r="O57" s="124"/>
      <c r="P57" s="124"/>
      <c r="Q57" s="124"/>
      <c r="R57" s="124"/>
      <c r="S57" s="1"/>
      <c r="T57" s="1"/>
      <c r="U57" s="1"/>
      <c r="V57" s="1"/>
      <c r="W57" s="1"/>
      <c r="X57" s="1"/>
    </row>
    <row r="58" spans="1:24">
      <c r="A58" s="125" t="s">
        <v>121</v>
      </c>
      <c r="B58" s="126"/>
      <c r="C58" s="125" t="s">
        <v>122</v>
      </c>
      <c r="D58" s="126"/>
      <c r="E58" s="127" t="s">
        <v>123</v>
      </c>
      <c r="F58" s="128"/>
      <c r="G58" s="125" t="s">
        <v>124</v>
      </c>
      <c r="H58" s="126"/>
      <c r="I58" s="1"/>
      <c r="J58" s="1"/>
      <c r="K58" s="125"/>
      <c r="L58" s="126"/>
      <c r="M58" s="125" t="s">
        <v>4</v>
      </c>
      <c r="N58" s="126"/>
      <c r="O58" s="127"/>
      <c r="P58" s="128"/>
      <c r="Q58" s="125" t="s">
        <v>80</v>
      </c>
      <c r="R58" s="126"/>
      <c r="S58" s="1"/>
      <c r="T58" s="1"/>
      <c r="U58" s="1"/>
      <c r="V58" s="1"/>
      <c r="W58" s="1"/>
      <c r="X58" s="1"/>
    </row>
    <row r="59" spans="1:24">
      <c r="A59" s="1"/>
      <c r="B59" s="1"/>
      <c r="C59" s="132">
        <v>1</v>
      </c>
      <c r="D59" s="58">
        <v>1.9520833333333332E-3</v>
      </c>
      <c r="E59" s="1"/>
      <c r="F59" s="1"/>
      <c r="G59" s="132">
        <v>1</v>
      </c>
      <c r="H59" s="131">
        <v>1.9796875000000001E-3</v>
      </c>
      <c r="I59" s="1"/>
      <c r="J59" s="1"/>
      <c r="K59" s="1"/>
      <c r="L59" s="1"/>
      <c r="M59" s="1">
        <v>1</v>
      </c>
      <c r="N59" s="58">
        <v>1.4361342592592592E-3</v>
      </c>
      <c r="O59" s="1"/>
      <c r="P59" s="1"/>
      <c r="Q59" s="1">
        <v>1</v>
      </c>
      <c r="R59" s="58">
        <v>1.4263888888888889E-3</v>
      </c>
      <c r="S59" s="1"/>
      <c r="T59" s="1"/>
      <c r="U59" s="1"/>
      <c r="V59" s="1"/>
      <c r="W59" s="1"/>
      <c r="X59" s="1"/>
    </row>
    <row r="60" spans="1:24">
      <c r="A60" s="1"/>
      <c r="B60" s="1"/>
      <c r="C60" s="132">
        <v>2</v>
      </c>
      <c r="D60" s="58">
        <v>1.1939004629629628E-3</v>
      </c>
      <c r="E60" s="1"/>
      <c r="F60" s="1"/>
      <c r="G60" s="132">
        <v>2</v>
      </c>
      <c r="H60" s="131">
        <v>1.2236342592592594E-3</v>
      </c>
      <c r="I60" s="1"/>
      <c r="J60" s="1"/>
      <c r="K60" s="1"/>
      <c r="L60" s="1"/>
      <c r="M60" s="1">
        <v>2</v>
      </c>
      <c r="N60" s="58">
        <v>9.4768518518518509E-4</v>
      </c>
      <c r="O60" s="1"/>
      <c r="P60" s="1"/>
      <c r="Q60" s="1">
        <v>2</v>
      </c>
      <c r="R60" s="58">
        <v>9.1004629629629628E-4</v>
      </c>
      <c r="S60" s="1"/>
      <c r="T60" s="1"/>
      <c r="U60" s="1"/>
      <c r="V60" s="1"/>
      <c r="W60" s="1"/>
      <c r="X60" s="1"/>
    </row>
    <row r="61" spans="1:24">
      <c r="A61" s="1"/>
      <c r="B61" s="1"/>
      <c r="C61" s="132">
        <v>3</v>
      </c>
      <c r="D61" s="58">
        <v>1.1949652777777779E-3</v>
      </c>
      <c r="E61" s="1"/>
      <c r="F61" s="1"/>
      <c r="G61" s="132">
        <v>3</v>
      </c>
      <c r="H61" s="131">
        <v>1.2050810185185185E-3</v>
      </c>
      <c r="I61" s="1"/>
      <c r="J61" s="1"/>
      <c r="K61" s="1"/>
      <c r="L61" s="1"/>
      <c r="M61" s="1">
        <v>3</v>
      </c>
      <c r="N61" s="58">
        <v>8.3365740740740752E-4</v>
      </c>
      <c r="O61" s="1"/>
      <c r="P61" s="1"/>
      <c r="Q61" s="1">
        <v>3</v>
      </c>
      <c r="R61" s="58">
        <v>8.2151620370370364E-4</v>
      </c>
      <c r="S61" s="1"/>
      <c r="T61" s="1"/>
      <c r="U61" s="1"/>
      <c r="V61" s="1"/>
      <c r="W61" s="1"/>
      <c r="X61" s="1"/>
    </row>
    <row r="62" spans="1:24">
      <c r="A62" s="1"/>
      <c r="B62" s="1"/>
      <c r="C62" s="132">
        <v>4</v>
      </c>
      <c r="D62" s="58">
        <v>1.1942129629629631E-3</v>
      </c>
      <c r="E62" s="1"/>
      <c r="F62" s="1"/>
      <c r="G62" s="132">
        <v>4</v>
      </c>
      <c r="H62" s="131">
        <v>1.2027199074074073E-3</v>
      </c>
      <c r="I62" s="1"/>
      <c r="J62" s="1"/>
      <c r="K62" s="1"/>
      <c r="L62" s="1"/>
      <c r="M62" s="1">
        <v>4</v>
      </c>
      <c r="N62" s="58">
        <v>8.2813657407407413E-4</v>
      </c>
      <c r="O62" s="1"/>
      <c r="P62" s="1"/>
      <c r="Q62" s="1">
        <v>4</v>
      </c>
      <c r="R62" s="58">
        <v>8.2106481481481483E-4</v>
      </c>
      <c r="S62" s="1"/>
      <c r="T62" s="1"/>
      <c r="U62" s="1"/>
      <c r="V62" s="1"/>
      <c r="W62" s="1"/>
      <c r="X62" s="1"/>
    </row>
    <row r="63" spans="1:24">
      <c r="A63" s="1"/>
      <c r="B63" s="1"/>
      <c r="C63" s="132">
        <v>5</v>
      </c>
      <c r="D63" s="58">
        <v>1.1978819444444443E-3</v>
      </c>
      <c r="E63" s="1"/>
      <c r="F63" s="1"/>
      <c r="G63" s="132">
        <v>5</v>
      </c>
      <c r="H63" s="131">
        <v>1.1896412037037036E-3</v>
      </c>
      <c r="I63" s="1"/>
      <c r="J63" s="1"/>
      <c r="K63" s="1"/>
      <c r="L63" s="1"/>
      <c r="M63" s="1">
        <v>5</v>
      </c>
      <c r="N63" s="58">
        <v>8.2803240740740743E-4</v>
      </c>
      <c r="O63" s="1"/>
      <c r="P63" s="1"/>
      <c r="Q63" s="1">
        <v>5</v>
      </c>
      <c r="R63" s="58">
        <v>8.2216435185185181E-4</v>
      </c>
      <c r="S63" s="1"/>
      <c r="T63" s="1"/>
      <c r="U63" s="1"/>
      <c r="V63" s="1"/>
      <c r="W63" s="1"/>
      <c r="X63" s="1"/>
    </row>
    <row r="64" spans="1:24">
      <c r="A64" s="1"/>
      <c r="B64" s="1"/>
      <c r="C64" s="132">
        <v>6</v>
      </c>
      <c r="D64" s="58">
        <v>1.1956712962962962E-3</v>
      </c>
      <c r="E64" s="1"/>
      <c r="F64" s="1"/>
      <c r="G64" s="132">
        <v>6</v>
      </c>
      <c r="H64" s="131">
        <v>1.2009606481481483E-3</v>
      </c>
      <c r="I64" s="1"/>
      <c r="J64" s="1"/>
      <c r="K64" s="1"/>
      <c r="L64" s="1"/>
      <c r="M64" s="1">
        <v>6</v>
      </c>
      <c r="N64" s="58">
        <v>8.3063657407407402E-4</v>
      </c>
      <c r="O64" s="1"/>
      <c r="P64" s="1"/>
      <c r="Q64" s="1">
        <v>6</v>
      </c>
      <c r="R64" s="58">
        <v>8.4766203703703707E-4</v>
      </c>
      <c r="S64" s="1"/>
      <c r="T64" s="1"/>
      <c r="U64" s="1"/>
      <c r="V64" s="1"/>
      <c r="W64" s="1"/>
      <c r="X64" s="1"/>
    </row>
    <row r="65" spans="1:24">
      <c r="A65" s="1"/>
      <c r="B65" s="1"/>
      <c r="C65" s="132">
        <v>7</v>
      </c>
      <c r="D65" s="58">
        <v>1.1767824074074074E-3</v>
      </c>
      <c r="E65" s="1"/>
      <c r="F65" s="1"/>
      <c r="G65" s="132">
        <v>7</v>
      </c>
      <c r="H65" s="131">
        <v>1.1911805555555556E-3</v>
      </c>
      <c r="I65" s="1"/>
      <c r="J65" s="1"/>
      <c r="K65" s="1"/>
      <c r="L65" s="1"/>
      <c r="M65" s="1">
        <v>7</v>
      </c>
      <c r="N65" s="58">
        <v>8.3038194444444446E-4</v>
      </c>
      <c r="O65" s="1"/>
      <c r="P65" s="1"/>
      <c r="Q65" s="1">
        <v>7</v>
      </c>
      <c r="R65" s="58">
        <v>8.2127314814814812E-4</v>
      </c>
      <c r="S65" s="1"/>
      <c r="T65" s="1"/>
      <c r="U65" s="1"/>
      <c r="V65" s="1"/>
      <c r="W65" s="1"/>
      <c r="X65" s="1"/>
    </row>
    <row r="66" spans="1:24">
      <c r="A66" s="1"/>
      <c r="B66" s="1"/>
      <c r="C66" s="132">
        <v>8</v>
      </c>
      <c r="D66" s="58">
        <v>1.204861111111111E-3</v>
      </c>
      <c r="E66" s="1"/>
      <c r="F66" s="1"/>
      <c r="G66" s="132">
        <v>8</v>
      </c>
      <c r="H66" s="131">
        <v>1.1953125E-3</v>
      </c>
      <c r="I66" s="1"/>
      <c r="J66" s="1"/>
      <c r="K66" s="1"/>
      <c r="L66" s="1"/>
      <c r="M66" s="1">
        <v>8</v>
      </c>
      <c r="N66" s="58">
        <v>8.2754629629629628E-4</v>
      </c>
      <c r="O66" s="1"/>
      <c r="P66" s="1"/>
      <c r="Q66" s="1">
        <v>8</v>
      </c>
      <c r="R66" s="58">
        <v>8.2086805555555559E-4</v>
      </c>
      <c r="S66" s="1"/>
      <c r="T66" s="1"/>
      <c r="U66" s="1"/>
      <c r="V66" s="1"/>
      <c r="W66" s="1"/>
      <c r="X66" s="1"/>
    </row>
    <row r="67" spans="1:24">
      <c r="A67" s="1"/>
      <c r="B67" s="1"/>
      <c r="C67" s="132">
        <v>9</v>
      </c>
      <c r="D67" s="58">
        <v>1.2104166666666667E-3</v>
      </c>
      <c r="E67" s="1"/>
      <c r="F67" s="1"/>
      <c r="G67" s="132">
        <v>9</v>
      </c>
      <c r="H67" s="131">
        <v>1.2066550925925925E-3</v>
      </c>
      <c r="I67" s="1"/>
      <c r="J67" s="1"/>
      <c r="K67" s="1"/>
      <c r="L67" s="1"/>
      <c r="M67" s="1">
        <v>9</v>
      </c>
      <c r="N67" s="58">
        <v>8.3032407407407404E-4</v>
      </c>
      <c r="O67" s="1"/>
      <c r="P67" s="1"/>
      <c r="Q67" s="1">
        <v>9</v>
      </c>
      <c r="R67" s="58">
        <v>8.1811342592592591E-4</v>
      </c>
      <c r="S67" s="1"/>
      <c r="T67" s="1"/>
      <c r="U67" s="1"/>
      <c r="V67" s="1"/>
      <c r="W67" s="1"/>
      <c r="X67" s="1"/>
    </row>
    <row r="68" spans="1:24">
      <c r="A68" s="1"/>
      <c r="B68" s="1"/>
      <c r="C68" s="132">
        <v>10</v>
      </c>
      <c r="D68" s="58">
        <v>1.5151504629629629E-3</v>
      </c>
      <c r="E68" s="1"/>
      <c r="F68" s="1"/>
      <c r="G68" s="132">
        <v>10</v>
      </c>
      <c r="H68" s="131">
        <v>1.4534606481481482E-3</v>
      </c>
      <c r="I68" s="1"/>
      <c r="J68" s="1"/>
      <c r="K68" s="1"/>
      <c r="L68" s="1"/>
      <c r="M68" s="1">
        <v>10</v>
      </c>
      <c r="N68" s="58">
        <v>8.3142361111111123E-4</v>
      </c>
      <c r="O68" s="1"/>
      <c r="P68" s="1"/>
      <c r="Q68" s="1">
        <v>10</v>
      </c>
      <c r="R68" s="58">
        <v>8.1762731481481487E-4</v>
      </c>
      <c r="S68" s="1"/>
      <c r="T68" s="1"/>
      <c r="U68" s="1"/>
      <c r="V68" s="1"/>
      <c r="W68" s="1"/>
      <c r="X68" s="1"/>
    </row>
    <row r="69" spans="1:24">
      <c r="A69" s="1"/>
      <c r="B69" s="1"/>
      <c r="C69" s="132">
        <v>11</v>
      </c>
      <c r="D69" s="58">
        <v>1.9391203703703703E-3</v>
      </c>
      <c r="E69" s="1"/>
      <c r="F69" s="1"/>
      <c r="G69" s="132">
        <v>11</v>
      </c>
      <c r="H69" s="131">
        <v>1.9292013888888887E-3</v>
      </c>
      <c r="I69" s="1"/>
      <c r="J69" s="1"/>
      <c r="K69" s="1"/>
      <c r="L69" s="1"/>
      <c r="M69" s="1">
        <v>11</v>
      </c>
      <c r="N69" s="58">
        <v>8.480671296296296E-4</v>
      </c>
      <c r="O69" s="1"/>
      <c r="P69" s="1"/>
      <c r="Q69" s="1">
        <v>11</v>
      </c>
      <c r="R69" s="58">
        <v>8.2513888888888893E-4</v>
      </c>
      <c r="S69" s="1"/>
      <c r="T69" s="1"/>
      <c r="U69" s="1"/>
      <c r="V69" s="1"/>
      <c r="W69" s="1"/>
      <c r="X69" s="1"/>
    </row>
    <row r="70" spans="1:24">
      <c r="A70" s="1"/>
      <c r="B70" s="1"/>
      <c r="C70" s="132">
        <v>12</v>
      </c>
      <c r="D70" s="58">
        <v>1.1987847222222222E-3</v>
      </c>
      <c r="E70" s="1"/>
      <c r="F70" s="1"/>
      <c r="G70" s="132">
        <v>12</v>
      </c>
      <c r="H70" s="131">
        <v>1.2021874999999999E-3</v>
      </c>
      <c r="I70" s="1"/>
      <c r="J70" s="1"/>
      <c r="K70" s="1"/>
      <c r="L70" s="1"/>
      <c r="M70" s="1">
        <v>12</v>
      </c>
      <c r="N70" s="58">
        <v>8.3438657407407398E-4</v>
      </c>
      <c r="O70" s="1"/>
      <c r="P70" s="1"/>
      <c r="Q70" s="1">
        <v>12</v>
      </c>
      <c r="R70" s="58">
        <v>9.9265046296296297E-4</v>
      </c>
      <c r="S70" s="1"/>
      <c r="T70" s="1"/>
      <c r="U70" s="1"/>
      <c r="V70" s="1"/>
      <c r="W70" s="1"/>
      <c r="X70" s="1"/>
    </row>
    <row r="71" spans="1:24">
      <c r="A71" s="1"/>
      <c r="B71" s="1"/>
      <c r="C71" s="132">
        <v>13</v>
      </c>
      <c r="D71" s="58">
        <v>1.2125462962962964E-3</v>
      </c>
      <c r="E71" s="1"/>
      <c r="F71" s="1"/>
      <c r="G71" s="132">
        <v>13</v>
      </c>
      <c r="H71" s="131">
        <v>1.2077546296296296E-3</v>
      </c>
      <c r="I71" s="1"/>
      <c r="J71" s="1"/>
      <c r="K71" s="1"/>
      <c r="L71" s="1"/>
      <c r="M71" s="1">
        <v>13</v>
      </c>
      <c r="N71" s="58">
        <v>8.3318287037037031E-4</v>
      </c>
      <c r="O71" s="1"/>
      <c r="P71" s="1"/>
      <c r="Q71" s="1">
        <v>13</v>
      </c>
      <c r="R71" s="58">
        <v>8.3115740740740741E-4</v>
      </c>
      <c r="S71" s="1"/>
      <c r="T71" s="1"/>
      <c r="U71" s="1"/>
      <c r="V71" s="1"/>
      <c r="W71" s="1"/>
      <c r="X71" s="1"/>
    </row>
    <row r="72" spans="1:24">
      <c r="A72" s="1"/>
      <c r="B72" s="1"/>
      <c r="C72" s="132">
        <v>14</v>
      </c>
      <c r="D72" s="58">
        <v>1.2050694444444444E-3</v>
      </c>
      <c r="E72" s="1"/>
      <c r="F72" s="1"/>
      <c r="G72" s="132">
        <v>14</v>
      </c>
      <c r="H72" s="131">
        <v>1.2092245370370371E-3</v>
      </c>
      <c r="I72" s="1"/>
      <c r="J72" s="1"/>
      <c r="K72" s="1"/>
      <c r="L72" s="1"/>
      <c r="M72" s="1">
        <v>14</v>
      </c>
      <c r="N72" s="58">
        <v>8.3377314814814816E-4</v>
      </c>
      <c r="O72" s="1"/>
      <c r="P72" s="1"/>
      <c r="Q72" s="1">
        <v>14</v>
      </c>
      <c r="R72" s="58">
        <v>8.1944444444444437E-4</v>
      </c>
      <c r="S72" s="1"/>
      <c r="T72" s="1"/>
      <c r="U72" s="1"/>
      <c r="V72" s="1"/>
      <c r="W72" s="1"/>
      <c r="X72" s="1"/>
    </row>
    <row r="73" spans="1:24">
      <c r="A73" s="1"/>
      <c r="B73" s="1"/>
      <c r="C73" s="132">
        <v>15</v>
      </c>
      <c r="D73" s="58">
        <v>1.1976967592592592E-3</v>
      </c>
      <c r="E73" s="1"/>
      <c r="F73" s="1"/>
      <c r="G73" s="132">
        <v>15</v>
      </c>
      <c r="H73" s="131">
        <v>1.2027314814814815E-3</v>
      </c>
      <c r="I73" s="1"/>
      <c r="J73" s="1"/>
      <c r="K73" s="1"/>
      <c r="L73" s="1"/>
      <c r="M73" s="1">
        <v>15</v>
      </c>
      <c r="N73" s="58">
        <v>8.3221064814814822E-4</v>
      </c>
      <c r="O73" s="1"/>
      <c r="P73" s="1"/>
      <c r="Q73" s="1">
        <v>15</v>
      </c>
      <c r="R73" s="58">
        <v>8.2342592592592602E-4</v>
      </c>
      <c r="S73" s="1"/>
      <c r="T73" s="1"/>
      <c r="U73" s="1"/>
      <c r="V73" s="1"/>
      <c r="W73" s="1"/>
      <c r="X73" s="1"/>
    </row>
    <row r="74" spans="1:24">
      <c r="A74" s="1"/>
      <c r="B74" s="1"/>
      <c r="C74" s="132">
        <v>16</v>
      </c>
      <c r="D74" s="58">
        <v>1.2089351851851851E-3</v>
      </c>
      <c r="E74" s="1"/>
      <c r="F74" s="1"/>
      <c r="G74" s="132">
        <v>16</v>
      </c>
      <c r="H74" s="131">
        <v>1.2106712962962963E-3</v>
      </c>
      <c r="I74" s="1"/>
      <c r="J74" s="1"/>
      <c r="K74" s="1"/>
      <c r="L74" s="1"/>
      <c r="M74" s="1">
        <v>16</v>
      </c>
      <c r="N74" s="58">
        <v>8.2762731481481489E-4</v>
      </c>
      <c r="O74" s="1"/>
      <c r="P74" s="1"/>
      <c r="Q74" s="1">
        <v>16</v>
      </c>
      <c r="R74" s="58">
        <v>8.1971064814814819E-4</v>
      </c>
      <c r="S74" s="1"/>
      <c r="T74" s="1"/>
      <c r="U74" s="1"/>
      <c r="V74" s="1"/>
      <c r="W74" s="1"/>
      <c r="X74" s="1"/>
    </row>
    <row r="75" spans="1:24" ht="15.75">
      <c r="A75" s="1"/>
      <c r="B75" s="1"/>
      <c r="C75" s="1"/>
      <c r="D75" s="1"/>
      <c r="E75" s="1"/>
      <c r="F75" s="1"/>
      <c r="G75" s="132"/>
      <c r="H75" s="99"/>
      <c r="I75" s="1"/>
      <c r="J75" s="1"/>
      <c r="K75" s="1"/>
      <c r="L75" s="1"/>
      <c r="M75" s="1">
        <v>17</v>
      </c>
      <c r="N75" s="58">
        <v>8.4262731481481482E-4</v>
      </c>
      <c r="O75" s="1"/>
      <c r="P75" s="1"/>
      <c r="Q75" s="1">
        <v>17</v>
      </c>
      <c r="R75" s="58">
        <v>8.3310185185185191E-4</v>
      </c>
      <c r="S75" s="1"/>
      <c r="T75" s="1"/>
      <c r="U75" s="1"/>
      <c r="V75" s="1"/>
      <c r="W75" s="1"/>
      <c r="X75" s="1"/>
    </row>
    <row r="76" spans="1:24">
      <c r="A76" s="1"/>
      <c r="B76" s="1"/>
      <c r="C76" s="1"/>
      <c r="D76" s="1"/>
      <c r="E76" s="1"/>
      <c r="F76" s="1"/>
      <c r="G76" s="132"/>
      <c r="H76" s="1"/>
      <c r="I76" s="1"/>
      <c r="J76" s="1"/>
      <c r="K76" s="1"/>
      <c r="L76" s="1"/>
      <c r="M76" s="1">
        <v>18</v>
      </c>
      <c r="N76" s="58">
        <v>8.3070601851851849E-4</v>
      </c>
      <c r="O76" s="1"/>
      <c r="P76" s="1"/>
      <c r="Q76" s="1">
        <v>18</v>
      </c>
      <c r="R76" s="58">
        <v>8.2271990740740743E-4</v>
      </c>
      <c r="S76" s="1"/>
      <c r="T76" s="1"/>
      <c r="U76" s="1"/>
      <c r="V76" s="1"/>
      <c r="W76" s="1"/>
      <c r="X76" s="1"/>
    </row>
    <row r="77" spans="1:24">
      <c r="A77" s="1" t="s">
        <v>125</v>
      </c>
      <c r="B77" s="58" t="e">
        <f>+AVERAGE(B55:B64,B68:B74)</f>
        <v>#DIV/0!</v>
      </c>
      <c r="C77" s="1"/>
      <c r="D77" s="58">
        <f>+AVERAGE(D55:D67,D70:D74)</f>
        <v>1.2531291335978834E-3</v>
      </c>
      <c r="E77" s="1"/>
      <c r="F77" s="58" t="e">
        <f>+AVERAGE(F55:F64,F68:F74)</f>
        <v>#DIV/0!</v>
      </c>
      <c r="G77" s="132"/>
      <c r="H77" s="58">
        <f>+AVERAGE(H59:H67,H70:H74)</f>
        <v>1.2591030092592593E-3</v>
      </c>
      <c r="I77" s="1"/>
      <c r="J77" s="1"/>
      <c r="K77" s="1"/>
      <c r="L77" s="58"/>
      <c r="M77" s="1">
        <v>19</v>
      </c>
      <c r="N77" s="58">
        <v>8.292361111111111E-4</v>
      </c>
      <c r="O77" s="1"/>
      <c r="P77" s="58"/>
      <c r="Q77" s="1">
        <v>19</v>
      </c>
      <c r="R77" s="58">
        <v>8.2199074074074065E-4</v>
      </c>
      <c r="S77" s="1"/>
      <c r="T77" s="1"/>
      <c r="U77" s="1"/>
      <c r="V77" s="1"/>
      <c r="W77" s="1"/>
      <c r="X77" s="1"/>
    </row>
    <row r="78" spans="1:24">
      <c r="A78" s="1"/>
      <c r="B78" s="1"/>
      <c r="C78" s="1"/>
      <c r="D78" s="1"/>
      <c r="E78" s="1"/>
      <c r="F78" s="1"/>
      <c r="G78" s="132"/>
      <c r="H78" s="1"/>
      <c r="I78" s="1"/>
      <c r="J78" s="1"/>
      <c r="K78" s="1"/>
      <c r="L78" s="1"/>
      <c r="M78" s="1">
        <v>20</v>
      </c>
      <c r="N78" s="58">
        <v>8.3160879629629633E-4</v>
      </c>
      <c r="O78" s="1"/>
      <c r="P78" s="1"/>
      <c r="Q78" s="1">
        <v>20</v>
      </c>
      <c r="R78" s="58">
        <v>8.2870370370370368E-4</v>
      </c>
      <c r="S78" s="1"/>
      <c r="T78" s="1"/>
      <c r="U78" s="1"/>
      <c r="V78" s="1"/>
      <c r="W78" s="1"/>
      <c r="X78" s="1"/>
    </row>
    <row r="79" spans="1:24">
      <c r="A79" s="1"/>
      <c r="B79" s="1"/>
      <c r="C79" s="1"/>
      <c r="D79" s="58">
        <v>1.2531291335978834E-3</v>
      </c>
      <c r="E79" s="1"/>
      <c r="F79" s="1"/>
      <c r="G79" s="1"/>
      <c r="H79" s="100">
        <f>+SUM(H77-D77)</f>
        <v>5.9738756613759211E-6</v>
      </c>
      <c r="I79" s="1"/>
      <c r="J79" s="1"/>
      <c r="K79" s="1"/>
      <c r="L79" s="1"/>
      <c r="M79" s="1">
        <v>21</v>
      </c>
      <c r="N79" s="58">
        <v>8.294444444444445E-4</v>
      </c>
      <c r="O79" s="1"/>
      <c r="P79" s="1"/>
      <c r="Q79" s="1">
        <v>21</v>
      </c>
      <c r="R79" s="58">
        <v>8.2164351851851843E-4</v>
      </c>
      <c r="S79" s="1"/>
      <c r="T79" s="1"/>
      <c r="U79" s="1"/>
      <c r="V79" s="1"/>
      <c r="W79" s="1"/>
      <c r="X79" s="1"/>
    </row>
    <row r="80" spans="1:2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>
        <v>22</v>
      </c>
      <c r="N80" s="58">
        <v>8.3431712962962973E-4</v>
      </c>
      <c r="O80" s="1"/>
      <c r="P80" s="1"/>
      <c r="Q80" s="1">
        <v>22</v>
      </c>
      <c r="R80" s="58">
        <v>8.227662037037037E-4</v>
      </c>
      <c r="S80" s="1"/>
      <c r="T80" s="1"/>
      <c r="U80" s="1"/>
      <c r="V80" s="1"/>
      <c r="W80" s="1"/>
      <c r="X80" s="1"/>
    </row>
    <row r="81" spans="1:24">
      <c r="A81" s="90" t="s">
        <v>126</v>
      </c>
      <c r="B81" s="1"/>
      <c r="C81" s="1"/>
      <c r="D81" s="58">
        <f>+SMALL(D59:D74,1)</f>
        <v>1.1767824074074074E-3</v>
      </c>
      <c r="E81" s="1"/>
      <c r="F81" s="1"/>
      <c r="G81" s="1"/>
      <c r="H81" s="58">
        <f>+SMALL(H59:H74,1)</f>
        <v>1.1896412037037036E-3</v>
      </c>
      <c r="I81" s="1"/>
      <c r="J81" s="1"/>
      <c r="K81" s="90"/>
      <c r="L81" s="1"/>
      <c r="M81" s="1">
        <v>23</v>
      </c>
      <c r="N81" s="58">
        <v>8.2590277777777783E-4</v>
      </c>
      <c r="O81" s="1"/>
      <c r="P81" s="1"/>
      <c r="Q81" s="1">
        <v>23</v>
      </c>
      <c r="R81" s="58">
        <v>8.2003472222222222E-4</v>
      </c>
      <c r="S81" s="1"/>
      <c r="T81" s="1"/>
      <c r="U81" s="1"/>
      <c r="V81" s="1"/>
      <c r="W81" s="1"/>
      <c r="X81" s="1"/>
    </row>
    <row r="82" spans="1:2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>
        <v>24</v>
      </c>
      <c r="N82" s="58">
        <v>8.2978009259259257E-4</v>
      </c>
      <c r="O82" s="1"/>
      <c r="P82" s="1"/>
      <c r="Q82" s="1">
        <v>24</v>
      </c>
      <c r="R82" s="58">
        <v>8.2083333333333335E-4</v>
      </c>
      <c r="S82" s="1"/>
      <c r="T82" s="1"/>
      <c r="U82" s="1"/>
      <c r="V82" s="1"/>
      <c r="W82" s="1"/>
      <c r="X82" s="1"/>
    </row>
    <row r="83" spans="1:2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>
        <v>25</v>
      </c>
      <c r="N83" s="58">
        <v>8.2966435185185172E-4</v>
      </c>
      <c r="O83" s="1"/>
      <c r="P83" s="1"/>
      <c r="Q83" s="1">
        <v>25</v>
      </c>
      <c r="R83" s="58">
        <v>8.3520833333333342E-4</v>
      </c>
      <c r="S83" s="1"/>
      <c r="T83" s="1"/>
      <c r="U83" s="1"/>
      <c r="V83" s="1"/>
      <c r="W83" s="1"/>
      <c r="X83" s="1"/>
    </row>
    <row r="84" spans="1:2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90" t="s">
        <v>129</v>
      </c>
      <c r="N85" s="58">
        <f>+AVERAGE(N59:N83)</f>
        <v>8.6065972222222208E-4</v>
      </c>
      <c r="O85" s="1"/>
      <c r="P85" s="1"/>
      <c r="Q85" s="1"/>
      <c r="R85" s="58">
        <f>+AVERAGE(R59:R83)</f>
        <v>8.58610185185185E-4</v>
      </c>
      <c r="S85" s="1"/>
      <c r="T85" s="1"/>
      <c r="U85" s="1"/>
      <c r="V85" s="1"/>
      <c r="W85" s="1"/>
      <c r="X85" s="1"/>
    </row>
    <row r="86" spans="1:2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90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90" t="s">
        <v>130</v>
      </c>
      <c r="N87" s="102">
        <f>+SUM(N85-R85)</f>
        <v>2.0495370370370806E-6</v>
      </c>
      <c r="O87" s="1"/>
      <c r="P87" s="1"/>
      <c r="Q87" s="1"/>
      <c r="R87" s="58">
        <f>+AVERAGE(R61:R85)</f>
        <v>8.328095679012345E-4</v>
      </c>
      <c r="S87" s="1"/>
      <c r="T87" s="1"/>
      <c r="U87" s="1"/>
      <c r="V87" s="1"/>
      <c r="W87" s="1"/>
      <c r="X87" s="1"/>
    </row>
    <row r="88" spans="1:2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90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90" t="s">
        <v>131</v>
      </c>
      <c r="N89" s="58">
        <f>+SMALL(N59:N83,1)</f>
        <v>8.2590277777777783E-4</v>
      </c>
      <c r="O89" s="1"/>
      <c r="P89" s="1"/>
      <c r="Q89" s="1"/>
      <c r="R89" s="58">
        <f>+SMALL(R59:R83,1)</f>
        <v>8.1762731481481487E-4</v>
      </c>
      <c r="S89" s="1"/>
      <c r="T89" s="1"/>
      <c r="U89" s="1"/>
      <c r="V89" s="1"/>
      <c r="W89" s="1"/>
      <c r="X89" s="1"/>
    </row>
    <row r="90" spans="1:2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90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90" t="s">
        <v>132</v>
      </c>
      <c r="N91" s="103">
        <f>+SUM(N89-R89)</f>
        <v>8.2754629629629671E-6</v>
      </c>
      <c r="O91" s="1"/>
      <c r="P91" s="1"/>
      <c r="Q91" s="1"/>
      <c r="R91" s="58">
        <f>+SMALL(R61:R85,1)</f>
        <v>8.1762731481481487E-4</v>
      </c>
      <c r="S91" s="1"/>
      <c r="T91" s="1"/>
      <c r="U91" s="1"/>
      <c r="V91" s="1"/>
      <c r="W91" s="1"/>
      <c r="X91" s="1"/>
    </row>
    <row r="92" spans="1:2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16" t="s">
        <v>96</v>
      </c>
      <c r="B93" s="116"/>
      <c r="C93" s="116"/>
      <c r="D93" s="116"/>
      <c r="E93" s="116"/>
      <c r="F93" s="116"/>
      <c r="G93" s="116"/>
      <c r="H93" s="116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16"/>
      <c r="B94" s="116"/>
      <c r="C94" s="116"/>
      <c r="D94" s="116"/>
      <c r="E94" s="116"/>
      <c r="F94" s="116"/>
      <c r="G94" s="116"/>
      <c r="H94" s="116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 t="s">
        <v>90</v>
      </c>
      <c r="B95" s="1" t="s">
        <v>91</v>
      </c>
      <c r="C95" s="1" t="s">
        <v>92</v>
      </c>
      <c r="D95" s="1" t="s">
        <v>93</v>
      </c>
      <c r="E95" s="1" t="s">
        <v>94</v>
      </c>
      <c r="F95" s="1" t="s">
        <v>95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 t="s">
        <v>84</v>
      </c>
      <c r="B96" s="1" t="s">
        <v>85</v>
      </c>
      <c r="C96" s="1" t="s">
        <v>86</v>
      </c>
      <c r="D96" s="1" t="s">
        <v>87</v>
      </c>
      <c r="E96" s="1" t="s">
        <v>88</v>
      </c>
      <c r="F96" s="1" t="s">
        <v>89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</sheetData>
  <mergeCells count="34">
    <mergeCell ref="K58:L58"/>
    <mergeCell ref="M58:N58"/>
    <mergeCell ref="O58:P58"/>
    <mergeCell ref="Q58:R58"/>
    <mergeCell ref="K57:R57"/>
    <mergeCell ref="A25:H25"/>
    <mergeCell ref="A27:B27"/>
    <mergeCell ref="G27:H27"/>
    <mergeCell ref="C27:D27"/>
    <mergeCell ref="E27:F27"/>
    <mergeCell ref="G26:H26"/>
    <mergeCell ref="A26:B26"/>
    <mergeCell ref="C26:D26"/>
    <mergeCell ref="E26:F26"/>
    <mergeCell ref="K2:L2"/>
    <mergeCell ref="Q2:R2"/>
    <mergeCell ref="M2:N2"/>
    <mergeCell ref="O2:P2"/>
    <mergeCell ref="K1:R1"/>
    <mergeCell ref="K25:R25"/>
    <mergeCell ref="K27:L27"/>
    <mergeCell ref="Q27:R27"/>
    <mergeCell ref="O27:P27"/>
    <mergeCell ref="M27:N27"/>
    <mergeCell ref="K26:L26"/>
    <mergeCell ref="M26:N26"/>
    <mergeCell ref="O26:P26"/>
    <mergeCell ref="Q26:R26"/>
    <mergeCell ref="A93:H94"/>
    <mergeCell ref="A57:H57"/>
    <mergeCell ref="A58:B58"/>
    <mergeCell ref="C58:D58"/>
    <mergeCell ref="E58:F58"/>
    <mergeCell ref="G58:H5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2026-08-17T03:16:35Z</dcterms:modified>
  <cp:category/>
  <cp:contentStatus/>
</cp:coreProperties>
</file>