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B76A17BE-6EA0-4506-951E-9FEFEA8AAF06}" xr6:coauthVersionLast="47" xr6:coauthVersionMax="47" xr10:uidLastSave="{00000000-0000-0000-0000-000000000000}"/>
  <bookViews>
    <workbookView xWindow="0" yWindow="0" windowWidth="20490" windowHeight="7605" firstSheet="7" activeTab="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138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8" l="1"/>
  <c r="F49" i="8"/>
  <c r="D49" i="8"/>
  <c r="B49" i="8"/>
  <c r="H51" i="8"/>
  <c r="F51" i="8"/>
  <c r="B51" i="8"/>
  <c r="R51" i="8"/>
  <c r="P51" i="8"/>
  <c r="L51" i="8"/>
  <c r="R49" i="8"/>
  <c r="P49" i="8"/>
  <c r="N49" i="8"/>
  <c r="P19" i="8"/>
  <c r="L19" i="8"/>
  <c r="R19" i="8"/>
  <c r="N19" i="8"/>
  <c r="L49" i="8"/>
  <c r="I103" i="1"/>
  <c r="G99" i="1"/>
  <c r="B3" i="2"/>
  <c r="B2" i="2"/>
  <c r="M103" i="1"/>
  <c r="K103" i="1"/>
  <c r="M102" i="1"/>
  <c r="K102" i="1"/>
  <c r="G102" i="1"/>
  <c r="I101" i="1"/>
  <c r="G101" i="1"/>
  <c r="I102" i="1"/>
  <c r="G103" i="1"/>
  <c r="N95" i="1"/>
  <c r="N94" i="1"/>
  <c r="L95" i="1"/>
  <c r="L94" i="1"/>
  <c r="J95" i="1"/>
  <c r="J94" i="1"/>
  <c r="H95" i="1"/>
  <c r="H94" i="1"/>
  <c r="P4" i="3"/>
  <c r="Q4" i="3"/>
  <c r="S4" i="3"/>
  <c r="Q5" i="3"/>
  <c r="S5" i="3"/>
  <c r="P6" i="3"/>
  <c r="R6" i="3"/>
  <c r="S6" i="3"/>
  <c r="P7" i="3"/>
  <c r="R7" i="3"/>
  <c r="S7" i="3"/>
  <c r="M88" i="1"/>
  <c r="K88" i="1"/>
  <c r="G88" i="1"/>
  <c r="G90" i="1"/>
  <c r="H15" i="6" a="1"/>
  <c r="H15" i="6"/>
  <c r="D26" i="4"/>
  <c r="L21" i="8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1" i="8" l="1"/>
  <c r="N99" i="1"/>
  <c r="M99" i="1"/>
  <c r="L99" i="1"/>
  <c r="K99" i="1"/>
  <c r="J99" i="1"/>
  <c r="I99" i="1"/>
  <c r="H99" i="1"/>
  <c r="R21" i="8"/>
  <c r="N21" i="8"/>
  <c r="J4" i="7"/>
  <c r="L4" i="7"/>
  <c r="K4" i="7"/>
  <c r="B4" i="2" l="1"/>
  <c r="K101" i="1"/>
  <c r="Q6" i="3" s="1"/>
  <c r="B5" i="2"/>
  <c r="M101" i="1"/>
  <c r="Q7" i="3" s="1"/>
  <c r="J15" i="6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L107" i="1"/>
  <c r="L112" i="1" s="1"/>
  <c r="J107" i="1"/>
  <c r="H107" i="1"/>
  <c r="I89" i="1"/>
  <c r="G89" i="1"/>
  <c r="N82" i="1"/>
  <c r="L82" i="1"/>
  <c r="J82" i="1"/>
  <c r="H82" i="1"/>
  <c r="N81" i="1"/>
  <c r="L81" i="1"/>
  <c r="J81" i="1"/>
  <c r="H81" i="1"/>
  <c r="R5" i="3" l="1"/>
  <c r="R4" i="3"/>
  <c r="H86" i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Q29" i="1"/>
  <c r="Q30" i="1"/>
  <c r="K60" i="1"/>
  <c r="G8" i="1"/>
  <c r="I47" i="1"/>
  <c r="K47" i="1"/>
  <c r="M47" i="1"/>
  <c r="M34" i="1"/>
  <c r="K8" i="1"/>
  <c r="M8" i="1"/>
  <c r="I8" i="1"/>
  <c r="K21" i="1"/>
  <c r="M21" i="1"/>
  <c r="I21" i="1"/>
  <c r="G10" i="1" l="1"/>
  <c r="J4" i="3" s="1"/>
  <c r="Q8" i="1"/>
  <c r="Q21" i="1" s="1"/>
  <c r="Q34" i="1" s="1"/>
  <c r="Q47" i="1" s="1"/>
  <c r="G23" i="1"/>
  <c r="M10" i="1"/>
  <c r="I10" i="1"/>
  <c r="K10" i="1"/>
  <c r="K23" i="1" l="1"/>
  <c r="J6" i="3"/>
  <c r="M23" i="1"/>
  <c r="J7" i="3"/>
  <c r="G36" i="1"/>
  <c r="I23" i="1"/>
  <c r="K5" i="3" s="1"/>
  <c r="J5" i="3"/>
  <c r="D3" i="2"/>
  <c r="D2" i="2"/>
  <c r="J2" i="2" s="1"/>
  <c r="D4" i="2"/>
  <c r="D5" i="2"/>
  <c r="G49" i="1" l="1"/>
  <c r="M36" i="1"/>
  <c r="K36" i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M5" i="3" s="1"/>
  <c r="N3" i="2"/>
  <c r="G75" i="1" l="1"/>
  <c r="C2" i="2" s="1"/>
  <c r="M62" i="1"/>
  <c r="K62" i="1"/>
  <c r="I62" i="1"/>
  <c r="N5" i="3" s="1"/>
  <c r="I75" i="1" l="1"/>
  <c r="K75" i="1"/>
  <c r="C4" i="2" s="1"/>
  <c r="K5" i="2" s="1"/>
  <c r="M75" i="1"/>
  <c r="C5" i="2" s="1"/>
  <c r="K4" i="2" s="1"/>
  <c r="I88" i="1" l="1"/>
  <c r="P5" i="3" s="1"/>
  <c r="O5" i="3"/>
  <c r="C3" i="2"/>
  <c r="K2" i="2" l="1"/>
  <c r="K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<sst xmlns="http://schemas.openxmlformats.org/spreadsheetml/2006/main" count="535" uniqueCount="106">
  <si>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</si>
  <si>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</si>
  <si>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</si>
  <si>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</si>
  <si>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</si>
  <si>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</si>
  <si>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</si>
  <si>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</si>
  <si>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</si>
  <si>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</si>
  <si>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</si>
  <si>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</si>
  <si>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</si>
  <si>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</si>
  <si>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</si>
  <si>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</si>
  <si>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</si>
  <si>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</si>
  <si>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</si>
  <si>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</si>
  <si>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</si>
  <si>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</si>
  <si>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</si>
  <si>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</si>
  <si>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</si>
  <si>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Gana pablo por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</si>
  <si>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</si>
  <si>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</si>
  <si>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</si>
  <si>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</si>
  <si>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</si>
  <si>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</si>
  <si>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</si>
  <si>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</si>
  <si>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</si>
  <si>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</si>
  <si>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</si>
  <si>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</si>
  <si>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</si>
  <si>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</si>
  <si>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</si>
  <si>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</si>
  <si>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</si>
  <si>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</si>
  <si>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</si>
  <si>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</si>
  <si>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</si>
  <si>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</si>
  <si>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</si>
  <si>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</si>
  <si>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</si>
  <si>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</si>
  <si>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</si>
  <si>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</si>
  <si>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</si>
  <si>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</si>
  <si>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</si>
  <si>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</si>
  <si>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</si>
  <si>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</si>
  <si>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</si>
  <si>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</si>
  <si>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</si>
  <si>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</si>
  <si>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</si>
  <si>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</si>
  <si>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</si>
  <si>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</si>
  <si>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</si>
  <si>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</si>
  <si>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</si>
  <si>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</si>
  <si>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</si>
  <si>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</si>
  <si>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</si>
  <si>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</si>
  <si>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</si>
  <si>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</si>
  <si>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</si>
  <si>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</si>
  <si>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</si>
  <si>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</si>
  <si>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</si>
  <si>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</si>
  <si>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</si>
  <si>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</si>
  <si>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</si>
  <si>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</si>
  <si>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</si>
  <si>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</si>
  <si>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</si>
  <si>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</si>
  <si>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</si>
  <si>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</si>
  <si>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</si>
  <si>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</si>
  <si>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</si>
  <si>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</si>
  <si>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</si>
  <si>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</si>
  <si>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ROSARIO C1</t>
  </si>
  <si>
    <t>ROSARIO C2</t>
  </si>
  <si>
    <t>Pablo C1</t>
  </si>
  <si>
    <t>Agus C1</t>
  </si>
  <si>
    <t>Juandi C1</t>
  </si>
  <si>
    <t>Eze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</si>
</sst>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40" xfId="0" applyFont="1" applyBorder="1"/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6" fillId="0" borderId="32" xfId="0" applyFon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1" fillId="0" borderId="0" xfId="0" applyFont="1"/>
    <xf numFmtId="166" fontId="1" fillId="0" borderId="0" xfId="0" applyNumberFormat="1" applyFont="1"/>
    <xf numFmtId="0" fontId="8" fillId="0" borderId="0" xfId="0" applyFont="1"/>
    <xf numFmtId="166" fontId="8" fillId="0" borderId="0" xfId="0" applyNumberFormat="1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193.75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235.5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13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83" zoomScaleNormal="100" workbookViewId="0">
      <selection activeCell="U97" sqref="U97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5" t="s">
        <v>0</v>
      </c>
      <c r="B1" s="105"/>
      <c r="C1" s="105" t="s">
        <v>1</v>
      </c>
      <c r="D1" s="105"/>
      <c r="E1" s="1"/>
      <c r="F1" s="102" t="s">
        <v>2</v>
      </c>
      <c r="G1" s="102"/>
      <c r="H1" s="102"/>
      <c r="I1" s="102"/>
      <c r="J1" s="102"/>
      <c r="K1" s="102"/>
      <c r="L1" s="102"/>
      <c r="M1" s="102"/>
      <c r="N1" s="102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2">
        <v>1</v>
      </c>
      <c r="B2" s="92">
        <v>25</v>
      </c>
      <c r="C2" s="9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102" t="s">
        <v>2</v>
      </c>
      <c r="S2" s="102"/>
      <c r="T2" s="102"/>
      <c r="U2" s="102"/>
      <c r="V2" s="102"/>
      <c r="W2" s="102"/>
      <c r="X2" s="102"/>
      <c r="Y2" s="102"/>
      <c r="Z2" s="102"/>
    </row>
    <row r="3" spans="1:26" ht="16.5" thickTop="1" thickBot="1">
      <c r="A3" s="92">
        <v>2</v>
      </c>
      <c r="B3" s="92">
        <v>18</v>
      </c>
      <c r="C3" s="92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2">
        <v>3</v>
      </c>
      <c r="B4" s="92">
        <v>15</v>
      </c>
      <c r="C4" s="92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2">
        <v>4</v>
      </c>
      <c r="B5" s="92">
        <v>12</v>
      </c>
      <c r="C5" s="92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02" t="s">
        <v>15</v>
      </c>
      <c r="S6" s="102"/>
      <c r="T6" s="102"/>
      <c r="U6" s="102"/>
      <c r="V6" s="102"/>
      <c r="W6" s="102"/>
      <c r="X6" s="102"/>
      <c r="Y6" s="102"/>
      <c r="Z6" s="102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7">
        <f>+SUM(H3:H7)</f>
        <v>39.25</v>
      </c>
      <c r="H8" s="104"/>
      <c r="I8" s="107">
        <f>+SUM(J3:J7)</f>
        <v>36.75</v>
      </c>
      <c r="J8" s="104"/>
      <c r="K8" s="107">
        <f>+SUM(L3:L7)</f>
        <v>21</v>
      </c>
      <c r="L8" s="104"/>
      <c r="M8" s="107">
        <f>+SUM(N3:N7)</f>
        <v>28.5</v>
      </c>
      <c r="N8" s="104"/>
      <c r="O8" s="1"/>
      <c r="P8" s="1"/>
      <c r="Q8" s="1">
        <f>+SUM(I8-G8)</f>
        <v>-2.5</v>
      </c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2" t="s">
        <v>18</v>
      </c>
      <c r="S9" s="102"/>
      <c r="T9" s="102"/>
      <c r="U9" s="102"/>
      <c r="V9" s="102"/>
      <c r="W9" s="102"/>
      <c r="X9" s="102"/>
      <c r="Y9" s="102"/>
      <c r="Z9" s="102"/>
    </row>
    <row r="10" spans="1:26" ht="15.75" thickTop="1">
      <c r="A10" s="1"/>
      <c r="B10" s="1"/>
      <c r="C10" s="1"/>
      <c r="D10" s="1"/>
      <c r="E10" s="1"/>
      <c r="F10" s="7" t="s">
        <v>19</v>
      </c>
      <c r="G10" s="106">
        <f>G8</f>
        <v>39.25</v>
      </c>
      <c r="H10" s="106"/>
      <c r="I10" s="106">
        <f>I8</f>
        <v>36.75</v>
      </c>
      <c r="J10" s="106"/>
      <c r="K10" s="106">
        <f>K8</f>
        <v>21</v>
      </c>
      <c r="L10" s="106"/>
      <c r="M10" s="106">
        <f>M8</f>
        <v>28.5</v>
      </c>
      <c r="N10" s="106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98">
        <f>+IF($G3=1,40,IF($G3=2,20,IF($G3=3,10,IF($G3=4,0,""))))</f>
        <v>40</v>
      </c>
      <c r="H11" s="99"/>
      <c r="I11" s="98">
        <f>+IF($I3=1,40,IF($I3=2,20,IF($I3=3,10,IF($I3=4,0,""))))</f>
        <v>20</v>
      </c>
      <c r="J11" s="99"/>
      <c r="K11" s="98">
        <f>+IF($K3=1,40,IF($K3=2,20,IF($K3=3,10,IF($K3=4,0,""))))</f>
        <v>0</v>
      </c>
      <c r="L11" s="99"/>
      <c r="M11" s="98">
        <f>+IF($M3=1,40,IF($M3=2,20,IF($M3=3,10,IF($M3=4,0,""))))</f>
        <v>10</v>
      </c>
      <c r="N11" s="9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98">
        <f>+IF($G3=1,40,IF($G3=2,20,IF($G3=3,10,IF($G3=4,0,""))))</f>
        <v>40</v>
      </c>
      <c r="H12" s="99"/>
      <c r="I12" s="98">
        <f>+IF($I3=1,40,IF($I3=2,20,IF($I3=3,10,IF($I3=4,0,""))))</f>
        <v>20</v>
      </c>
      <c r="J12" s="99"/>
      <c r="K12" s="98">
        <f>+IF($K3=1,40,IF($K3=2,20,IF($K3=3,10,IF($K3=4,0,""))))</f>
        <v>0</v>
      </c>
      <c r="L12" s="99"/>
      <c r="M12" s="98">
        <f>+IF($M3=1,40,IF($M3=2,20,IF($M3=3,10,IF($M3=4,0,""))))</f>
        <v>10</v>
      </c>
      <c r="N12" s="99"/>
      <c r="O12" s="1"/>
      <c r="P12" s="1"/>
      <c r="Q12" s="1"/>
      <c r="R12" s="102" t="s">
        <v>21</v>
      </c>
      <c r="S12" s="102"/>
      <c r="T12" s="102"/>
      <c r="U12" s="102"/>
      <c r="V12" s="102"/>
      <c r="W12" s="102"/>
      <c r="X12" s="102"/>
      <c r="Y12" s="102"/>
      <c r="Z12" s="102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2" t="s">
        <v>15</v>
      </c>
      <c r="G14" s="102"/>
      <c r="H14" s="102"/>
      <c r="I14" s="102"/>
      <c r="J14" s="102"/>
      <c r="K14" s="102"/>
      <c r="L14" s="102"/>
      <c r="M14" s="102"/>
      <c r="N14" s="102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7">
        <f>+SUM(H16:H20)</f>
        <v>25.5</v>
      </c>
      <c r="H21" s="104"/>
      <c r="I21" s="103">
        <f>+SUM(J16:J20)</f>
        <v>36.75</v>
      </c>
      <c r="J21" s="104"/>
      <c r="K21" s="103">
        <f>+SUM(L16:L20)</f>
        <v>36.25</v>
      </c>
      <c r="L21" s="104"/>
      <c r="M21" s="103">
        <f>+SUM(N16:N20)</f>
        <v>27</v>
      </c>
      <c r="N21" s="104"/>
      <c r="O21" s="1"/>
      <c r="P21" s="1"/>
      <c r="Q21" s="1">
        <f>+SUM(I21-G21)+Q8</f>
        <v>8.75</v>
      </c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0">
        <f>+SUM(G21+G10)</f>
        <v>64.75</v>
      </c>
      <c r="H23" s="101"/>
      <c r="I23" s="100">
        <f>+SUM(I21+I10)</f>
        <v>73.5</v>
      </c>
      <c r="J23" s="101"/>
      <c r="K23" s="100">
        <f>+SUM(K21+K10)</f>
        <v>57.25</v>
      </c>
      <c r="L23" s="101"/>
      <c r="M23" s="100">
        <f>+SUM(M21+M10)</f>
        <v>55.5</v>
      </c>
      <c r="N23" s="101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98">
        <f>+IF($G16=1,40,IF($G16=2,20,IF($G16=3,10,IF($G16=4,0,""))))</f>
        <v>0</v>
      </c>
      <c r="H24" s="99"/>
      <c r="I24" s="98">
        <f>+IF($I16=1,40,IF($I16=2,20,IF($I16=3,10,IF($I16=4,0,""))))</f>
        <v>10</v>
      </c>
      <c r="J24" s="99"/>
      <c r="K24" s="98">
        <f>+IF($K16=1,40,IF($K16=2,20,IF($K16=3,10,IF($K16=4,0,""))))</f>
        <v>40</v>
      </c>
      <c r="L24" s="99"/>
      <c r="M24" s="98">
        <f>+IF($M16=1,40,IF($M16=2,20,IF($M16=3,10,IF($M16=4,0,""))))</f>
        <v>20</v>
      </c>
      <c r="N24" s="99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98">
        <f>+SUM(G24+G12)</f>
        <v>40</v>
      </c>
      <c r="H25" s="99"/>
      <c r="I25" s="98">
        <f>+SUM(I24+I12)</f>
        <v>30</v>
      </c>
      <c r="J25" s="99"/>
      <c r="K25" s="98">
        <f>+SUM(K24+K12)</f>
        <v>40</v>
      </c>
      <c r="L25" s="99"/>
      <c r="M25" s="98">
        <f>+SUM(M24+M12)</f>
        <v>30</v>
      </c>
      <c r="N25" s="99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2" t="s">
        <v>18</v>
      </c>
      <c r="G27" s="102"/>
      <c r="H27" s="102"/>
      <c r="I27" s="102"/>
      <c r="J27" s="102"/>
      <c r="K27" s="102"/>
      <c r="L27" s="102"/>
      <c r="M27" s="102"/>
      <c r="N27" s="102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>
        <f>+SUM(J29-H29)</f>
        <v>7</v>
      </c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>
        <f>+SUM(J30-H30)</f>
        <v>5.25</v>
      </c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03">
        <f>+SUM(H29:H33)</f>
        <v>31.5</v>
      </c>
      <c r="H34" s="104"/>
      <c r="I34" s="103">
        <f>+SUM(J29:J33)</f>
        <v>46.75</v>
      </c>
      <c r="J34" s="104"/>
      <c r="K34" s="103">
        <f>+SUM(L29:L33)</f>
        <v>26.25</v>
      </c>
      <c r="L34" s="104"/>
      <c r="M34" s="103">
        <f>+SUM(N29:N33)</f>
        <v>21</v>
      </c>
      <c r="N34" s="104"/>
      <c r="O34" s="1"/>
      <c r="P34" s="1"/>
      <c r="Q34" s="1">
        <f>+SUM(I34-G34)+Q21</f>
        <v>24</v>
      </c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00">
        <f>+SUM(G34,G23)</f>
        <v>96.25</v>
      </c>
      <c r="H36" s="101"/>
      <c r="I36" s="100">
        <f>+SUM(I34,I23)</f>
        <v>120.25</v>
      </c>
      <c r="J36" s="101"/>
      <c r="K36" s="100">
        <f>+SUM(K34,K23)</f>
        <v>83.5</v>
      </c>
      <c r="L36" s="101"/>
      <c r="M36" s="100">
        <f>+SUM(M34,M23)</f>
        <v>76.5</v>
      </c>
      <c r="N36" s="101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98">
        <f>+IF($G29=1,40,IF($G29=2,20,IF($G29=3,10,IF($G29=4,0,""))))</f>
        <v>20</v>
      </c>
      <c r="H37" s="99"/>
      <c r="I37" s="98">
        <f>+IF($I29=1,40,IF($I29=2,20,IF($I29=3,10,IF($I29=4,0,""))))</f>
        <v>40</v>
      </c>
      <c r="J37" s="99"/>
      <c r="K37" s="98">
        <f>+IF($K29=1,40,IF($K29=2,20,IF($K29=3,10,IF($K29=4,0,""))))</f>
        <v>10</v>
      </c>
      <c r="L37" s="99"/>
      <c r="M37" s="98">
        <f>+IF($M29=1,40,IF($M29=2,20,IF($M29=3,10,IF($M29=4,0,""))))</f>
        <v>0</v>
      </c>
      <c r="N37" s="99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98">
        <f>+SUM(G37+G25)</f>
        <v>60</v>
      </c>
      <c r="H38" s="99"/>
      <c r="I38" s="98">
        <f>+SUM(I37+I25)</f>
        <v>70</v>
      </c>
      <c r="J38" s="99"/>
      <c r="K38" s="98">
        <f>+SUM(K37+K25)</f>
        <v>50</v>
      </c>
      <c r="L38" s="99"/>
      <c r="M38" s="98">
        <f>+SUM(M37+M25)</f>
        <v>30</v>
      </c>
      <c r="N38" s="99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2" t="s">
        <v>21</v>
      </c>
      <c r="G40" s="102"/>
      <c r="H40" s="102"/>
      <c r="I40" s="102"/>
      <c r="J40" s="102"/>
      <c r="K40" s="102"/>
      <c r="L40" s="102"/>
      <c r="M40" s="102"/>
      <c r="N40" s="102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 t="s">
        <v>25</v>
      </c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03">
        <f>+SUM(H42:H46)</f>
        <v>45.75</v>
      </c>
      <c r="H47" s="104"/>
      <c r="I47" s="103">
        <f t="shared" ref="I47" si="0">+SUM(J42:J46)</f>
        <v>28.5</v>
      </c>
      <c r="J47" s="104"/>
      <c r="K47" s="103">
        <f t="shared" ref="K47" si="1">+SUM(L42:L46)</f>
        <v>23.25</v>
      </c>
      <c r="L47" s="104"/>
      <c r="M47" s="103">
        <f t="shared" ref="M47" si="2">+SUM(N42:N46)</f>
        <v>28</v>
      </c>
      <c r="N47" s="104"/>
      <c r="O47" s="1"/>
      <c r="P47" s="1"/>
      <c r="Q47" s="1">
        <f>+SUM(I47-G47)+Q34</f>
        <v>6.75</v>
      </c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4">
      <c r="F49" s="7" t="s">
        <v>19</v>
      </c>
      <c r="G49" s="100">
        <f>+SUM(G47,G36)</f>
        <v>142</v>
      </c>
      <c r="H49" s="101"/>
      <c r="I49" s="100">
        <f>+SUM(I47,I36)</f>
        <v>148.75</v>
      </c>
      <c r="J49" s="101"/>
      <c r="K49" s="100">
        <f>+SUM(K47,K36)</f>
        <v>106.75</v>
      </c>
      <c r="L49" s="101"/>
      <c r="M49" s="100">
        <f>+SUM(M47,M36)</f>
        <v>104.5</v>
      </c>
      <c r="N49" s="101"/>
    </row>
    <row r="50" spans="6:14">
      <c r="F50" s="7" t="s">
        <v>12</v>
      </c>
      <c r="G50" s="98">
        <f>+IF($G42=1,40,IF($G42=2,20,IF($G42=3,10,IF($G42=4,0,""))))</f>
        <v>40</v>
      </c>
      <c r="H50" s="99"/>
      <c r="I50" s="98">
        <f>+IF($I42=1,40,IF($I42=2,20,IF($I42=3,10,IF($I42=4,0,""))))</f>
        <v>10</v>
      </c>
      <c r="J50" s="99"/>
      <c r="K50" s="98">
        <f>+IF($K42=1,40,IF($K42=2,20,IF($K42=3,10,IF($K42=4,0,""))))</f>
        <v>0</v>
      </c>
      <c r="L50" s="99"/>
      <c r="M50" s="98">
        <f>+IF($M42=1,40,IF($M42=2,20,IF($M42=3,10,IF($M42=4,0,""))))</f>
        <v>20</v>
      </c>
      <c r="N50" s="99"/>
    </row>
    <row r="51" spans="6:14">
      <c r="F51" s="15" t="s">
        <v>20</v>
      </c>
      <c r="G51" s="98">
        <f>+SUM(G50+G38-G11)</f>
        <v>60</v>
      </c>
      <c r="H51" s="99"/>
      <c r="I51" s="98">
        <f>+SUM(I50+I38-I11)</f>
        <v>60</v>
      </c>
      <c r="J51" s="99"/>
      <c r="K51" s="98">
        <f>+SUM(K50+K38-K11)</f>
        <v>50</v>
      </c>
      <c r="L51" s="99"/>
      <c r="M51" s="98">
        <f>+SUM(M50+M38-M11)</f>
        <v>40</v>
      </c>
      <c r="N51" s="99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102" t="s">
        <v>26</v>
      </c>
      <c r="G53" s="102"/>
      <c r="H53" s="102"/>
      <c r="I53" s="102"/>
      <c r="J53" s="102"/>
      <c r="K53" s="102"/>
      <c r="L53" s="102"/>
      <c r="M53" s="102"/>
      <c r="N53" s="102"/>
    </row>
    <row r="54" spans="6:14" ht="16.5" thickTop="1" thickBot="1">
      <c r="F54" s="13" t="s">
        <v>27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103">
        <f>+SUM(H55:H59)</f>
        <v>30.5</v>
      </c>
      <c r="H60" s="104"/>
      <c r="I60" s="103">
        <f>+SUM(J55:J59)</f>
        <v>29.25</v>
      </c>
      <c r="J60" s="104"/>
      <c r="K60" s="103">
        <f t="shared" ref="K60" si="3">+SUM(L55:L59)</f>
        <v>21</v>
      </c>
      <c r="L60" s="104"/>
      <c r="M60" s="103">
        <f t="shared" ref="M60" si="4">+SUM(N55:N59)</f>
        <v>44.75</v>
      </c>
      <c r="N60" s="104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100">
        <f>+SUM(G60,G49)</f>
        <v>172.5</v>
      </c>
      <c r="H62" s="101"/>
      <c r="I62" s="100">
        <f t="shared" ref="I62" si="5">+SUM(I60,I49)</f>
        <v>178</v>
      </c>
      <c r="J62" s="101"/>
      <c r="K62" s="100">
        <f t="shared" ref="K62" si="6">+SUM(K60,K49)</f>
        <v>127.75</v>
      </c>
      <c r="L62" s="101"/>
      <c r="M62" s="100">
        <f t="shared" ref="M62" si="7">+SUM(M60,M49)</f>
        <v>149.25</v>
      </c>
      <c r="N62" s="101"/>
    </row>
    <row r="63" spans="6:14">
      <c r="F63" s="7" t="s">
        <v>12</v>
      </c>
      <c r="G63" s="98">
        <f>+IF($G55=1,40,IF($G55=2,20,IF($G55=3,10,IF($G55=4,0,""))))</f>
        <v>10</v>
      </c>
      <c r="H63" s="99"/>
      <c r="I63" s="98">
        <f>+IF($I55=1,40,IF($I55=2,20,IF($I55=3,10,IF($I55=4,0,""))))</f>
        <v>20</v>
      </c>
      <c r="J63" s="99"/>
      <c r="K63" s="98">
        <f>+IF($K55=1,40,IF($K55=2,20,IF($K55=3,10,IF($K55=4,0,""))))</f>
        <v>0</v>
      </c>
      <c r="L63" s="99"/>
      <c r="M63" s="98">
        <f>+IF($M55=1,40,IF($M55=2,20,IF($M55=3,10,IF($M55=4,0,""))))</f>
        <v>40</v>
      </c>
      <c r="N63" s="99"/>
    </row>
    <row r="64" spans="6:14">
      <c r="F64" s="15" t="s">
        <v>20</v>
      </c>
      <c r="G64" s="98">
        <f>+SUM(G63+G51-G24)</f>
        <v>70</v>
      </c>
      <c r="H64" s="99"/>
      <c r="I64" s="98">
        <f>+SUM(I63+I51-I24)</f>
        <v>70</v>
      </c>
      <c r="J64" s="99"/>
      <c r="K64" s="98">
        <f>+SUM(K63+K51-K24)</f>
        <v>10</v>
      </c>
      <c r="L64" s="99"/>
      <c r="M64" s="98">
        <f>+SUM(M63+M51-M24)</f>
        <v>60</v>
      </c>
      <c r="N64" s="99"/>
    </row>
    <row r="66" spans="6:14" ht="15.75" thickBot="1">
      <c r="F66" s="102" t="s">
        <v>28</v>
      </c>
      <c r="G66" s="102"/>
      <c r="H66" s="102"/>
      <c r="I66" s="102"/>
      <c r="J66" s="102"/>
      <c r="K66" s="102"/>
      <c r="L66" s="102"/>
      <c r="M66" s="102"/>
      <c r="N66" s="102"/>
    </row>
    <row r="67" spans="6:14" ht="16.5" thickTop="1" thickBot="1">
      <c r="F67" s="13" t="s">
        <v>29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103">
        <f>+SUM(H68:H72)</f>
        <v>34.75</v>
      </c>
      <c r="H73" s="104">
        <f>+SUM(H68:H72)</f>
        <v>34.75</v>
      </c>
      <c r="I73" s="103">
        <f>+SUM(J68:J72)</f>
        <v>40.5</v>
      </c>
      <c r="J73" s="104">
        <f>+SUM(J68:J72)</f>
        <v>40.5</v>
      </c>
      <c r="K73" s="103">
        <f>+SUM(L68:L72)</f>
        <v>21</v>
      </c>
      <c r="L73" s="104">
        <f t="shared" ref="L73" si="8">+SUM(L68:L72)</f>
        <v>21</v>
      </c>
      <c r="M73" s="103">
        <f t="shared" ref="M73" si="9">+SUM(N68:N72)</f>
        <v>29.25</v>
      </c>
      <c r="N73" s="104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100">
        <f>+SUM(G73,G62)</f>
        <v>207.25</v>
      </c>
      <c r="H75" s="101"/>
      <c r="I75" s="100">
        <f>+SUM(I73,I62)</f>
        <v>218.5</v>
      </c>
      <c r="J75" s="101"/>
      <c r="K75" s="100">
        <f>+SUM(K73,K62)</f>
        <v>148.75</v>
      </c>
      <c r="L75" s="101"/>
      <c r="M75" s="100">
        <f>+SUM(M73,M62)</f>
        <v>178.5</v>
      </c>
      <c r="N75" s="101"/>
    </row>
    <row r="76" spans="6:14">
      <c r="F76" s="7" t="s">
        <v>12</v>
      </c>
      <c r="G76" s="98">
        <f>+IF($G68=1,40,IF($G68=2,20,IF($G68=3,10,IF($G68=4,0,""))))</f>
        <v>10</v>
      </c>
      <c r="H76" s="99"/>
      <c r="I76" s="98">
        <f>+IF($I68=1,40,IF($I68=2,20,IF($I68=3,10,IF($I68=4,0,""))))</f>
        <v>40</v>
      </c>
      <c r="J76" s="99"/>
      <c r="K76" s="98">
        <f>+IF($K68=1,40,IF($K68=2,20,IF($K68=3,10,IF($K68=4,0,""))))</f>
        <v>0</v>
      </c>
      <c r="L76" s="99"/>
      <c r="M76" s="98">
        <f>+IF($M68=1,40,IF($M68=2,20,IF($M68=3,10,IF($M68=4,0,""))))</f>
        <v>20</v>
      </c>
      <c r="N76" s="99"/>
    </row>
    <row r="77" spans="6:14">
      <c r="F77" s="15" t="s">
        <v>20</v>
      </c>
      <c r="G77" s="98">
        <f>+SUM(G76+G64-G37)</f>
        <v>60</v>
      </c>
      <c r="H77" s="99"/>
      <c r="I77" s="98">
        <f>+SUM(I76+I64-I37)</f>
        <v>70</v>
      </c>
      <c r="J77" s="99"/>
      <c r="K77" s="98">
        <f>+SUM(K76+K64-K37)</f>
        <v>0</v>
      </c>
      <c r="L77" s="99"/>
      <c r="M77" s="98">
        <f>+SUM(M76+M64-M37)</f>
        <v>80</v>
      </c>
      <c r="N77" s="99"/>
    </row>
    <row r="79" spans="6:14" ht="15.75" thickBot="1">
      <c r="F79" s="102" t="s">
        <v>30</v>
      </c>
      <c r="G79" s="102"/>
      <c r="H79" s="102"/>
      <c r="I79" s="102"/>
      <c r="J79" s="102"/>
      <c r="K79" s="102"/>
      <c r="L79" s="102"/>
      <c r="M79" s="102"/>
      <c r="N79" s="102"/>
    </row>
    <row r="80" spans="6:14" ht="16.5" thickTop="1" thickBot="1">
      <c r="F80" s="13" t="s">
        <v>31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2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6:2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6:2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6:2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6:2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6:24" ht="15.75" thickBot="1">
      <c r="F86" s="12" t="s">
        <v>17</v>
      </c>
      <c r="G86" s="103">
        <f>+SUM(H81:H85)</f>
        <v>40.5</v>
      </c>
      <c r="H86" s="104">
        <f>+SUM(H81:H85)</f>
        <v>40.5</v>
      </c>
      <c r="I86" s="103">
        <f>+SUM(J81:J85)</f>
        <v>30.25</v>
      </c>
      <c r="J86" s="104">
        <f>+SUM(J81:J85)</f>
        <v>30.25</v>
      </c>
      <c r="K86" s="103">
        <f t="shared" ref="K86:N86" si="11">+SUM(L81:L85)</f>
        <v>21</v>
      </c>
      <c r="L86" s="104">
        <f t="shared" ref="L86" si="12">+SUM(L81:L85)</f>
        <v>21</v>
      </c>
      <c r="M86" s="103">
        <f t="shared" ref="M86:N86" si="13">+SUM(N81:N85)</f>
        <v>33.75</v>
      </c>
      <c r="N86" s="104">
        <f t="shared" ref="N86" si="14">+SUM(N81:N85)</f>
        <v>33.75</v>
      </c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6:24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6:24">
      <c r="F88" s="7" t="s">
        <v>19</v>
      </c>
      <c r="G88" s="100">
        <f>+SUM(G86,G75)</f>
        <v>247.75</v>
      </c>
      <c r="H88" s="101"/>
      <c r="I88" s="100">
        <f>+SUM(I86,I75)</f>
        <v>248.75</v>
      </c>
      <c r="J88" s="101"/>
      <c r="K88" s="100">
        <f>+SUM(K86,K75)</f>
        <v>169.75</v>
      </c>
      <c r="L88" s="101"/>
      <c r="M88" s="100">
        <f>+SUM(M86,M75)</f>
        <v>212.25</v>
      </c>
      <c r="N88" s="10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6:24">
      <c r="F89" s="7" t="s">
        <v>12</v>
      </c>
      <c r="G89" s="98">
        <f>+IF($G81=1,40,IF($G81=2,20,IF($G81=3,10,IF($G81=4,0,""))))</f>
        <v>40</v>
      </c>
      <c r="H89" s="99"/>
      <c r="I89" s="98">
        <f>+IF($I81=1,40,IF($I81=2,20,IF($I81=3,10,IF($I81=4,0,""))))</f>
        <v>20</v>
      </c>
      <c r="J89" s="99"/>
      <c r="K89" s="98">
        <f>+IF($K81=1,40,IF($K81=2,20,IF($K81=3,10,IF($K81=4,0,""))))</f>
        <v>0</v>
      </c>
      <c r="L89" s="99"/>
      <c r="M89" s="98">
        <f>+IF($M81=1,40,IF($M81=2,20,IF($M81=3,10,IF($M81=4,0,""))))</f>
        <v>10</v>
      </c>
      <c r="N89" s="99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6:24">
      <c r="F90" s="15" t="s">
        <v>20</v>
      </c>
      <c r="G90" s="98">
        <f>+SUM(G89+G77-G50)</f>
        <v>60</v>
      </c>
      <c r="H90" s="99"/>
      <c r="I90" s="98">
        <f>+SUM(I89+I77-I50)</f>
        <v>80</v>
      </c>
      <c r="J90" s="99"/>
      <c r="K90" s="98">
        <f>+SUM(K89+K77-K50)</f>
        <v>0</v>
      </c>
      <c r="L90" s="99"/>
      <c r="M90" s="98">
        <f>+SUM(M89+M77-M50)</f>
        <v>70</v>
      </c>
      <c r="N90" s="99"/>
      <c r="O90" s="1"/>
      <c r="P90" s="1"/>
      <c r="Q90" s="1"/>
      <c r="R90" s="1"/>
      <c r="S90" s="1"/>
      <c r="T90" s="1"/>
      <c r="U90" s="1"/>
      <c r="V90" s="1"/>
      <c r="W90" s="1"/>
      <c r="X90" s="1"/>
    </row>
    <row r="92" spans="6:24">
      <c r="F92" s="102" t="s">
        <v>32</v>
      </c>
      <c r="G92" s="102"/>
      <c r="H92" s="102"/>
      <c r="I92" s="102"/>
      <c r="J92" s="102"/>
      <c r="K92" s="102"/>
      <c r="L92" s="102"/>
      <c r="M92" s="102"/>
      <c r="N92" s="102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6:24" ht="16.5" customHeight="1">
      <c r="F93" s="13" t="s">
        <v>33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6:24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6:24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6:24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6:14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</row>
    <row r="99" spans="6:14" ht="15.75" customHeight="1">
      <c r="F99" s="12" t="s">
        <v>17</v>
      </c>
      <c r="G99" s="103">
        <f>+SUM(H94:H98)</f>
        <v>39.75</v>
      </c>
      <c r="H99" s="104">
        <f>+SUM(H94:H98)</f>
        <v>39.75</v>
      </c>
      <c r="I99" s="103">
        <f>+SUM(J94:J98)</f>
        <v>38.5</v>
      </c>
      <c r="J99" s="104">
        <f>+SUM(J94:J98)</f>
        <v>38.5</v>
      </c>
      <c r="K99" s="103">
        <f t="shared" ref="K99" si="15">+SUM(L94:L98)</f>
        <v>24</v>
      </c>
      <c r="L99" s="104">
        <f t="shared" ref="L99" si="16">+SUM(L94:L98)</f>
        <v>24</v>
      </c>
      <c r="M99" s="103">
        <f t="shared" ref="M99" si="17">+SUM(N94:N98)</f>
        <v>23.25</v>
      </c>
      <c r="N99" s="104">
        <f t="shared" ref="N99" si="18">+SUM(N94:N98)</f>
        <v>23.25</v>
      </c>
    </row>
    <row r="100" spans="6:14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100">
        <f>+SUM(G99,G88)</f>
        <v>287.5</v>
      </c>
      <c r="H101" s="101"/>
      <c r="I101" s="100">
        <f>+SUM(I99,I88)</f>
        <v>287.25</v>
      </c>
      <c r="J101" s="101"/>
      <c r="K101" s="100">
        <f>+SUM(K99,K88)</f>
        <v>193.75</v>
      </c>
      <c r="L101" s="101"/>
      <c r="M101" s="100">
        <f>+SUM(M99,M88)</f>
        <v>235.5</v>
      </c>
      <c r="N101" s="101"/>
    </row>
    <row r="102" spans="6:14">
      <c r="F102" s="7" t="s">
        <v>12</v>
      </c>
      <c r="G102" s="98">
        <f>+IF($G94=1,40,IF($G94=2,20,IF($G94=3,10,IF($G94=4,0,""))))</f>
        <v>20</v>
      </c>
      <c r="H102" s="99"/>
      <c r="I102" s="98">
        <f>+IF($I94=1,40,IF($I94=2,20,IF($I94=3,10,IF($I94=4,0,""))))</f>
        <v>40</v>
      </c>
      <c r="J102" s="99"/>
      <c r="K102" s="98">
        <f>+IF($K94=1,40,IF($K94=2,20,IF($K94=3,10,IF($K94=4,0,""))))</f>
        <v>10</v>
      </c>
      <c r="L102" s="99"/>
      <c r="M102" s="98">
        <f>+IF($M94=1,40,IF($M94=2,20,IF($M94=3,10,IF($M94=4,0,""))))</f>
        <v>0</v>
      </c>
      <c r="N102" s="99"/>
    </row>
    <row r="103" spans="6:14">
      <c r="F103" s="15" t="s">
        <v>20</v>
      </c>
      <c r="G103" s="98">
        <f>+SUM(G102+G90-G63)</f>
        <v>70</v>
      </c>
      <c r="H103" s="99"/>
      <c r="I103" s="98">
        <f>+SUM(I102+I90-I63)</f>
        <v>100</v>
      </c>
      <c r="J103" s="99"/>
      <c r="K103" s="98">
        <f>+SUM(K102+K90-K63)</f>
        <v>10</v>
      </c>
      <c r="L103" s="99"/>
      <c r="M103" s="98">
        <f>+SUM(M102+M90-M63)</f>
        <v>30</v>
      </c>
      <c r="N103" s="99"/>
    </row>
    <row r="105" spans="6:14" ht="15.75" thickBot="1"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 spans="6:14" ht="16.5" thickTop="1" thickBot="1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customHeight="1">
      <c r="F112" s="12" t="s">
        <v>17</v>
      </c>
      <c r="G112" s="103"/>
      <c r="H112" s="104"/>
      <c r="I112" s="103"/>
      <c r="J112" s="104"/>
      <c r="K112" s="103"/>
      <c r="L112" s="104">
        <f>+SUM(L107:L111)</f>
        <v>0</v>
      </c>
      <c r="M112" s="103"/>
      <c r="N112" s="104">
        <f>+SUM(N107:N111)</f>
        <v>0</v>
      </c>
    </row>
    <row r="113" spans="6:14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100"/>
      <c r="H114" s="101"/>
      <c r="I114" s="100"/>
      <c r="J114" s="101"/>
      <c r="K114" s="100"/>
      <c r="L114" s="101"/>
      <c r="M114" s="100"/>
      <c r="N114" s="101"/>
    </row>
    <row r="115" spans="6:14">
      <c r="F115" s="7" t="s">
        <v>12</v>
      </c>
      <c r="G115" s="98" t="str">
        <f>+IF($G107=1,40,IF($G107=2,20,IF($G107=3,10,IF($G107=4,0,""))))</f>
        <v/>
      </c>
      <c r="H115" s="99"/>
      <c r="I115" s="98" t="str">
        <f>+IF($I107=1,40,IF($I107=2,20,IF($I107=3,10,IF($I107=4,0,""))))</f>
        <v/>
      </c>
      <c r="J115" s="99"/>
      <c r="K115" s="100"/>
      <c r="L115" s="101"/>
      <c r="M115" s="100"/>
      <c r="N115" s="101"/>
    </row>
    <row r="116" spans="6:14">
      <c r="F116" s="15" t="s">
        <v>20</v>
      </c>
      <c r="G116" s="98"/>
      <c r="H116" s="99"/>
      <c r="I116" s="98"/>
      <c r="J116" s="99"/>
      <c r="K116" s="100" t="str">
        <f>+IF($K107=1,"40Kg",IF($K107=2,"20Kg",IF($K107=3,"10Kg",IF($K107=4,"0Kg",""))))</f>
        <v/>
      </c>
      <c r="L116" s="101"/>
      <c r="M116" s="100" t="str">
        <f>+IF($M107=1,"40Kg",IF($M107=2,"20Kg",IF($M107=3,"10Kg",IF($M107=4,"0Kg",""))))</f>
        <v/>
      </c>
      <c r="N116" s="101"/>
    </row>
    <row r="118" spans="6:14" ht="15.75" thickBot="1"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 spans="6:14" ht="16.5" thickTop="1" thickBot="1">
      <c r="F119" s="13" t="s">
        <v>35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103"/>
      <c r="H125" s="104">
        <f>+SUM(H120:H124)</f>
        <v>0</v>
      </c>
      <c r="I125" s="103"/>
      <c r="J125" s="104">
        <f>+SUM(J120:J124)</f>
        <v>0</v>
      </c>
      <c r="K125" s="103"/>
      <c r="L125" s="104">
        <f>+SUM(L120:L124)</f>
        <v>0</v>
      </c>
      <c r="M125" s="103"/>
      <c r="N125" s="104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100">
        <f>H125</f>
        <v>0</v>
      </c>
      <c r="H127" s="101"/>
      <c r="I127" s="100">
        <f>J125</f>
        <v>0</v>
      </c>
      <c r="J127" s="101"/>
      <c r="K127" s="100">
        <f>L125</f>
        <v>0</v>
      </c>
      <c r="L127" s="101"/>
      <c r="M127" s="100">
        <f>N125</f>
        <v>0</v>
      </c>
      <c r="N127" s="101"/>
    </row>
    <row r="128" spans="6:14">
      <c r="F128" s="7" t="s">
        <v>12</v>
      </c>
      <c r="G128" s="98" t="str">
        <f>+IF($G120=1,40,IF($G120=2,20,IF($G120=3,10,IF($G120=4,0,""))))</f>
        <v/>
      </c>
      <c r="H128" s="99"/>
      <c r="I128" s="98" t="str">
        <f>+IF($I120=1,40,IF($I120=2,20,IF($I120=3,10,IF($I120=4,0,""))))</f>
        <v/>
      </c>
      <c r="J128" s="99"/>
      <c r="K128" s="100"/>
      <c r="L128" s="101"/>
      <c r="M128" s="100"/>
      <c r="N128" s="101"/>
    </row>
    <row r="129" spans="6:14">
      <c r="F129" s="15" t="s">
        <v>20</v>
      </c>
      <c r="G129" s="98" t="e">
        <f>+SUM(G128+G116-G89)</f>
        <v>#VALUE!</v>
      </c>
      <c r="H129" s="99"/>
      <c r="I129" s="98" t="e">
        <f>+SUM(I128+I116-I89)</f>
        <v>#VALUE!</v>
      </c>
      <c r="J129" s="99"/>
      <c r="K129" s="100" t="str">
        <f>+IF($K120=1,"40Kg",IF($K120=2,"20Kg",IF($K120=3,"10Kg",IF($K120=4,"0Kg",""))))</f>
        <v/>
      </c>
      <c r="L129" s="101"/>
      <c r="M129" s="100" t="str">
        <f>+IF($M120=1,"40Kg",IF($M120=2,"20Kg",IF($M120=3,"10Kg",IF($M120=4,"0Kg",""))))</f>
        <v/>
      </c>
      <c r="N129" s="101"/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E2" sqref="E2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36</v>
      </c>
      <c r="B1" s="22" t="s">
        <v>37</v>
      </c>
      <c r="C1" s="23" t="s">
        <v>38</v>
      </c>
      <c r="D1" s="1"/>
      <c r="E1" s="1"/>
      <c r="F1" s="1"/>
      <c r="G1" s="29"/>
      <c r="H1" s="34"/>
      <c r="I1" s="35" t="s">
        <v>36</v>
      </c>
      <c r="J1" s="35" t="s">
        <v>37</v>
      </c>
      <c r="K1" s="36" t="s">
        <v>38</v>
      </c>
      <c r="L1" s="29"/>
      <c r="M1" s="50" t="s">
        <v>39</v>
      </c>
      <c r="N1" s="51" t="s">
        <v>40</v>
      </c>
      <c r="O1" s="52" t="s">
        <v>41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+SUM(Hoja1!$G8,Hoja1!$G21,Hoja1!$G34,Hoja1!$G47,Hoja1!$G60,Hoja1!G73,Hoja1!G86,Hoja1!G99)</f>
        <v>287.5</v>
      </c>
      <c r="C2" s="25">
        <f>INDEX(Hoja1!$G$1:$G$250, (COUNTIF(DATOS!$J$4:$S$4, "&gt;0")-1)*13 + 12)</f>
        <v>70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287.5</v>
      </c>
      <c r="K2" s="43">
        <f>INDEX($C$2:$C$5, MATCH(H2, $D$2:$D$5, 0))</f>
        <v>70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0.76871657754010692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+SUM(Hoja1!$I8,Hoja1!$I21,Hoja1!$I34,Hoja1!$I47,Hoja1!$I60,Hoja1!I73,Hoja1!I86,Hoja1!I99)</f>
        <v>287.25</v>
      </c>
      <c r="C3" s="25">
        <f>INDEX(Hoja1!$I$1:$I$250, (COUNTIF(DATOS!$J$5:$S$5, "&gt;0")-1)*13 + 12)</f>
        <v>100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287.25</v>
      </c>
      <c r="K3" s="43">
        <f t="shared" ref="K3:K5" si="2">INDEX($C$2:$C$5, MATCH(H3, $D$2:$D$5, 0))</f>
        <v>100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0.76804812834224601</v>
      </c>
      <c r="O3" s="41">
        <f>+SUM(DATOS!C27:C46)</f>
        <v>6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+SUM(Hoja1!K8,Hoja1!K21,Hoja1!K34,Hoja1!K47,Hoja1!K60,Hoja1!K73,Hoja1!K86,Hoja1!K99)</f>
        <v>193.75</v>
      </c>
      <c r="C4" s="25">
        <f>INDEX(Hoja1!$K$1:$K$250, (COUNTIF(DATOS!$J$6:$S$6, "&gt;0")-1)*13 + 12)</f>
        <v>10</v>
      </c>
      <c r="D4" s="1">
        <f>_xlfn.RANK.EQ(B4, $B$2:$B$5) + COUNTIF($B$2:B4, B4) - 1</f>
        <v>4</v>
      </c>
      <c r="E4" s="1">
        <f>+AVERAGEIF(DATOS!E$3:E$22, "&gt;0")</f>
        <v>3.5</v>
      </c>
      <c r="F4" s="1"/>
      <c r="G4" s="29"/>
      <c r="H4" s="30">
        <v>3</v>
      </c>
      <c r="I4" s="31" t="str">
        <f t="shared" si="0"/>
        <v>Eze</v>
      </c>
      <c r="J4" s="31">
        <f t="shared" si="1"/>
        <v>235.5</v>
      </c>
      <c r="K4" s="43">
        <f t="shared" si="2"/>
        <v>30</v>
      </c>
      <c r="L4" s="1"/>
      <c r="M4" s="45">
        <f>INDEX($E$2:$E$5, MATCH(I4, $A$2:$A$5, 0))</f>
        <v>2.6875</v>
      </c>
      <c r="N4" s="39">
        <f>J4 / (COUNTIFS(DATOS!E3:E22, "&gt;0",DATOS!$B$3:$B$22, "CARRERA 1") * 46.75)</f>
        <v>0.6296791443850267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+SUM(Hoja1!M8,Hoja1!M21,Hoja1!M34,Hoja1!M47,Hoja1!M60,Hoja1!M73,Hoja1!M86,Hoja1!M99)</f>
        <v>235.5</v>
      </c>
      <c r="C5" s="26">
        <f>INDEX(Hoja1!$M$1:$M$250, (COUNTIF(DATOS!$J$7:$S$7, "&gt;0")-1)*13 + 12)</f>
        <v>30</v>
      </c>
      <c r="D5" s="1">
        <f>_xlfn.RANK.EQ(B5, $B$2:$B$5) + COUNTIF($B$2:B5, B5) - 1</f>
        <v>3</v>
      </c>
      <c r="E5" s="1">
        <f>+AVERAGEIF(DATOS!F$3:F$22, "&gt;0")</f>
        <v>2.6875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193.75</v>
      </c>
      <c r="K5" s="44">
        <f t="shared" si="2"/>
        <v>10</v>
      </c>
      <c r="L5" s="29"/>
      <c r="M5" s="46">
        <f>INDEX($E$2:$E$5, MATCH(I5, $A$2:$A$5, 0))</f>
        <v>3.5</v>
      </c>
      <c r="N5" s="40">
        <f>J5 / (COUNTIFS(DATOS!F3:F22, "&gt;0",DATOS!$B$3:$B$22, "CARRERA 1") * 46.75)</f>
        <v>0.51804812834224601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42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topLeftCell="A18" zoomScaleNormal="100" workbookViewId="0">
      <selection activeCell="A43" sqref="A43:A4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2" spans="1:19">
      <c r="A2" s="105" t="s">
        <v>44</v>
      </c>
      <c r="B2" s="105"/>
      <c r="C2" s="1" t="s">
        <v>45</v>
      </c>
      <c r="D2" s="1" t="s">
        <v>46</v>
      </c>
      <c r="E2" s="1" t="s">
        <v>47</v>
      </c>
      <c r="F2" s="1" t="s">
        <v>48</v>
      </c>
      <c r="G2" s="1"/>
      <c r="H2" s="1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</row>
    <row r="3" spans="1:19">
      <c r="A3" s="108" t="s">
        <v>2</v>
      </c>
      <c r="B3" s="1" t="s">
        <v>49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50</v>
      </c>
      <c r="K3" s="1" t="s">
        <v>51</v>
      </c>
      <c r="L3" s="1" t="s">
        <v>52</v>
      </c>
      <c r="M3" s="1" t="s">
        <v>53</v>
      </c>
      <c r="N3" s="1" t="s">
        <v>54</v>
      </c>
      <c r="O3" s="1" t="s">
        <v>55</v>
      </c>
      <c r="P3" s="1" t="s">
        <v>56</v>
      </c>
      <c r="Q3" s="1" t="s">
        <v>57</v>
      </c>
      <c r="R3" s="1" t="s">
        <v>58</v>
      </c>
      <c r="S3" s="1" t="s">
        <v>59</v>
      </c>
    </row>
    <row r="4" spans="1:19">
      <c r="A4" s="108"/>
      <c r="B4" s="1" t="s">
        <v>60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45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8" t="s">
        <v>15</v>
      </c>
      <c r="B5" s="1" t="s">
        <v>49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46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8"/>
      <c r="B6" s="1" t="s">
        <v>60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47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>
        <f>IF(INDEX(Hoja1!$K$1:$K$250, (COLUMN(H1)-1)*13 + 10)=0, NA(), INDEX(Hoja1!$K$1:$K$250, (COLUMN(H1)-1)*13 + 10))</f>
        <v>193.75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8" t="s">
        <v>18</v>
      </c>
      <c r="B7" s="1" t="s">
        <v>49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48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>
        <f>IF(INDEX(Hoja1!$M$1:$M$250, (COLUMN(H1)-1)*13 + 10)=0, NA(), INDEX(Hoja1!$M$1:$M$250, (COLUMN(H1)-1)*13 + 10))</f>
        <v>235.5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8"/>
      <c r="B8" s="1" t="s">
        <v>60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8" t="s">
        <v>21</v>
      </c>
      <c r="B9" s="1" t="s">
        <v>49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8"/>
      <c r="B10" s="1" t="s">
        <v>60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8" t="s">
        <v>61</v>
      </c>
      <c r="B11" s="1" t="s">
        <v>49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8"/>
      <c r="B12" s="1" t="s">
        <v>60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8" t="s">
        <v>62</v>
      </c>
      <c r="B13" s="1" t="s">
        <v>49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8"/>
      <c r="B14" s="1" t="s">
        <v>60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8" t="s">
        <v>63</v>
      </c>
      <c r="B15" s="1" t="s">
        <v>49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8"/>
      <c r="B16" s="1" t="s">
        <v>60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8" t="s">
        <v>64</v>
      </c>
      <c r="B17" s="1" t="s">
        <v>49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8"/>
      <c r="B18" s="1" t="s">
        <v>60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08"/>
      <c r="B19" s="1" t="s">
        <v>49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8"/>
      <c r="B20" s="1" t="s">
        <v>60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8"/>
      <c r="B21" s="1" t="s">
        <v>49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8"/>
      <c r="B22" s="1" t="s">
        <v>60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65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5" t="s">
        <v>41</v>
      </c>
      <c r="B25" s="105"/>
      <c r="C25" s="105"/>
      <c r="D25" s="105"/>
      <c r="E25" s="105"/>
      <c r="F25" s="105"/>
      <c r="G25" s="1"/>
    </row>
    <row r="26" spans="1:7">
      <c r="A26" s="105" t="s">
        <v>44</v>
      </c>
      <c r="B26" s="105"/>
      <c r="C26" s="93" t="s">
        <v>45</v>
      </c>
      <c r="D26" s="93" t="s">
        <v>46</v>
      </c>
      <c r="E26" s="93" t="s">
        <v>47</v>
      </c>
      <c r="F26" s="93" t="s">
        <v>48</v>
      </c>
      <c r="G26" s="1"/>
    </row>
    <row r="27" spans="1:7">
      <c r="A27" s="108" t="s">
        <v>2</v>
      </c>
      <c r="B27" s="108" t="s">
        <v>66</v>
      </c>
      <c r="C27" s="105">
        <f>Hoja1!H5</f>
        <v>1</v>
      </c>
      <c r="D27" s="105">
        <f>Hoja1!J5</f>
        <v>0</v>
      </c>
      <c r="E27" s="105">
        <f>Hoja1!L5</f>
        <v>0</v>
      </c>
      <c r="F27" s="105">
        <f>Hoja1!N5</f>
        <v>0</v>
      </c>
      <c r="G27" s="105"/>
    </row>
    <row r="28" spans="1:7">
      <c r="A28" s="108"/>
      <c r="B28" s="108"/>
      <c r="C28" s="105"/>
      <c r="D28" s="105"/>
      <c r="E28" s="105"/>
      <c r="F28" s="105"/>
      <c r="G28" s="105"/>
    </row>
    <row r="29" spans="1:7">
      <c r="A29" s="108" t="s">
        <v>15</v>
      </c>
      <c r="B29" s="108" t="s">
        <v>66</v>
      </c>
      <c r="C29" s="105">
        <f>Hoja1!H18</f>
        <v>0</v>
      </c>
      <c r="D29" s="105">
        <f>Hoja1!J18</f>
        <v>1</v>
      </c>
      <c r="E29" s="105">
        <f>Hoja1!L18</f>
        <v>0</v>
      </c>
      <c r="F29" s="105">
        <f>Hoja1!N18</f>
        <v>0</v>
      </c>
      <c r="G29" s="105"/>
    </row>
    <row r="30" spans="1:7">
      <c r="A30" s="108"/>
      <c r="B30" s="108"/>
      <c r="C30" s="105"/>
      <c r="D30" s="105"/>
      <c r="E30" s="105"/>
      <c r="F30" s="105"/>
      <c r="G30" s="105"/>
    </row>
    <row r="31" spans="1:7">
      <c r="A31" s="108" t="s">
        <v>18</v>
      </c>
      <c r="B31" s="108" t="s">
        <v>66</v>
      </c>
      <c r="C31" s="105">
        <f>Hoja1!H31</f>
        <v>0</v>
      </c>
      <c r="D31" s="105">
        <f>Hoja1!J31</f>
        <v>1</v>
      </c>
      <c r="E31" s="105">
        <f>Hoja1!L31</f>
        <v>0</v>
      </c>
      <c r="F31" s="105">
        <f>Hoja1!N31</f>
        <v>0</v>
      </c>
      <c r="G31" s="105"/>
    </row>
    <row r="32" spans="1:7">
      <c r="A32" s="108"/>
      <c r="B32" s="108"/>
      <c r="C32" s="105"/>
      <c r="D32" s="105"/>
      <c r="E32" s="105"/>
      <c r="F32" s="105"/>
      <c r="G32" s="105"/>
    </row>
    <row r="33" spans="1:7">
      <c r="A33" s="108" t="s">
        <v>21</v>
      </c>
      <c r="B33" s="108" t="s">
        <v>66</v>
      </c>
      <c r="C33" s="105">
        <f>Hoja1!H44</f>
        <v>1</v>
      </c>
      <c r="D33" s="105">
        <f>Hoja1!J44</f>
        <v>0</v>
      </c>
      <c r="E33" s="105">
        <f>Hoja1!L44</f>
        <v>0</v>
      </c>
      <c r="F33" s="105">
        <f>Hoja1!N44</f>
        <v>0</v>
      </c>
      <c r="G33" s="105"/>
    </row>
    <row r="34" spans="1:7">
      <c r="A34" s="108"/>
      <c r="B34" s="108"/>
      <c r="C34" s="105"/>
      <c r="D34" s="105"/>
      <c r="E34" s="105"/>
      <c r="F34" s="105"/>
      <c r="G34" s="105"/>
    </row>
    <row r="35" spans="1:7">
      <c r="A35" s="108" t="s">
        <v>61</v>
      </c>
      <c r="B35" s="108" t="s">
        <v>66</v>
      </c>
      <c r="C35" s="105">
        <f>Hoja1!H57</f>
        <v>1</v>
      </c>
      <c r="D35" s="105">
        <f>Hoja1!J57</f>
        <v>0</v>
      </c>
      <c r="E35" s="105">
        <f>Hoja1!L57</f>
        <v>0</v>
      </c>
      <c r="F35" s="105">
        <f>Hoja1!N57</f>
        <v>0</v>
      </c>
      <c r="G35" s="105"/>
    </row>
    <row r="36" spans="1:7">
      <c r="A36" s="108"/>
      <c r="B36" s="108"/>
      <c r="C36" s="105"/>
      <c r="D36" s="105"/>
      <c r="E36" s="105"/>
      <c r="F36" s="105"/>
      <c r="G36" s="105"/>
    </row>
    <row r="37" spans="1:7">
      <c r="A37" s="108" t="s">
        <v>62</v>
      </c>
      <c r="B37" s="108" t="s">
        <v>66</v>
      </c>
      <c r="C37" s="105">
        <f>Hoja1!H70</f>
        <v>1</v>
      </c>
      <c r="D37" s="105">
        <f>Hoja1!J70</f>
        <v>0</v>
      </c>
      <c r="E37" s="105">
        <f>Hoja1!L70</f>
        <v>0</v>
      </c>
      <c r="F37" s="105">
        <f>Hoja1!N70</f>
        <v>0</v>
      </c>
      <c r="G37" s="105"/>
    </row>
    <row r="38" spans="1:7">
      <c r="A38" s="108"/>
      <c r="B38" s="108"/>
      <c r="C38" s="105"/>
      <c r="D38" s="105"/>
      <c r="E38" s="105"/>
      <c r="F38" s="105"/>
      <c r="G38" s="105"/>
    </row>
    <row r="39" spans="1:7">
      <c r="A39" s="108" t="s">
        <v>63</v>
      </c>
      <c r="B39" s="108" t="s">
        <v>66</v>
      </c>
      <c r="C39" s="105">
        <f>Hoja1!H83</f>
        <v>1</v>
      </c>
      <c r="D39" s="105">
        <f>Hoja1!J83</f>
        <v>0</v>
      </c>
      <c r="E39" s="105">
        <f>Hoja1!L83</f>
        <v>0</v>
      </c>
      <c r="F39" s="105">
        <f>Hoja1!N83</f>
        <v>0</v>
      </c>
      <c r="G39" s="105"/>
    </row>
    <row r="40" spans="1:7">
      <c r="A40" s="108"/>
      <c r="B40" s="108"/>
      <c r="C40" s="105"/>
      <c r="D40" s="105"/>
      <c r="E40" s="105"/>
      <c r="F40" s="105"/>
      <c r="G40" s="105"/>
    </row>
    <row r="41" spans="1:7">
      <c r="A41" s="108" t="s">
        <v>64</v>
      </c>
      <c r="B41" s="108" t="s">
        <v>66</v>
      </c>
      <c r="C41" s="105">
        <f>Hoja1!H96</f>
        <v>1</v>
      </c>
      <c r="D41" s="105">
        <f>Hoja1!J96</f>
        <v>0</v>
      </c>
      <c r="E41" s="105">
        <f>Hoja1!L96</f>
        <v>0</v>
      </c>
      <c r="F41" s="105">
        <f>Hoja1!N96</f>
        <v>0</v>
      </c>
      <c r="G41" s="105"/>
    </row>
    <row r="42" spans="1:7">
      <c r="A42" s="108"/>
      <c r="B42" s="108"/>
      <c r="C42" s="105"/>
      <c r="D42" s="105"/>
      <c r="E42" s="105"/>
      <c r="F42" s="105"/>
      <c r="G42" s="105"/>
    </row>
    <row r="43" spans="1:7">
      <c r="A43" s="108"/>
      <c r="B43" s="108" t="s">
        <v>66</v>
      </c>
      <c r="C43" s="105">
        <f>Hoja1!H109</f>
        <v>0</v>
      </c>
      <c r="D43" s="105"/>
      <c r="E43" s="105"/>
      <c r="F43" s="105"/>
      <c r="G43" s="105"/>
    </row>
    <row r="44" spans="1:7">
      <c r="A44" s="108"/>
      <c r="B44" s="108"/>
      <c r="C44" s="105"/>
      <c r="D44" s="105"/>
      <c r="E44" s="105"/>
      <c r="F44" s="105"/>
      <c r="G44" s="105"/>
    </row>
    <row r="45" spans="1:7">
      <c r="A45" s="108"/>
      <c r="B45" s="108" t="s">
        <v>66</v>
      </c>
      <c r="C45" s="105">
        <f>Hoja1!H122</f>
        <v>0</v>
      </c>
      <c r="D45" s="105"/>
      <c r="E45" s="105"/>
      <c r="F45" s="105"/>
      <c r="G45" s="105"/>
    </row>
    <row r="46" spans="1:7">
      <c r="A46" s="108"/>
      <c r="B46" s="108"/>
      <c r="C46" s="105"/>
      <c r="D46" s="105"/>
      <c r="E46" s="105"/>
      <c r="F46" s="105"/>
      <c r="G46" s="105"/>
    </row>
    <row r="47" spans="1:7">
      <c r="A47" s="1" t="s">
        <v>19</v>
      </c>
      <c r="B47" s="1"/>
      <c r="C47" s="1">
        <f>+SUM(C27:C46)</f>
        <v>6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6" workbookViewId="0">
      <selection activeCell="A30" sqref="A30:G33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44</v>
      </c>
      <c r="B1" s="1" t="s">
        <v>36</v>
      </c>
      <c r="C1" s="1" t="s">
        <v>66</v>
      </c>
      <c r="D1" s="1" t="s">
        <v>67</v>
      </c>
      <c r="E1" s="1" t="s">
        <v>16</v>
      </c>
      <c r="F1" s="1" t="s">
        <v>68</v>
      </c>
      <c r="G1" s="1" t="s">
        <v>69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61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61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61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61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62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62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62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62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63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63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63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63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64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64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64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64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105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05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05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05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5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5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5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5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2"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44</v>
      </c>
      <c r="B1" s="1" t="s">
        <v>70</v>
      </c>
      <c r="C1" s="1"/>
      <c r="D1" s="1"/>
      <c r="E1" s="1"/>
      <c r="F1" s="1"/>
    </row>
    <row r="3" spans="1:6">
      <c r="A3" s="53" t="s">
        <v>71</v>
      </c>
      <c r="B3" s="93" t="s">
        <v>72</v>
      </c>
      <c r="C3" s="93" t="s">
        <v>73</v>
      </c>
      <c r="D3" s="93" t="s">
        <v>74</v>
      </c>
      <c r="E3" s="93" t="s">
        <v>75</v>
      </c>
      <c r="F3" s="1" t="s">
        <v>76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tabSelected="1" workbookViewId="0">
      <selection activeCell="E24" sqref="E24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8" t="s">
        <v>2</v>
      </c>
      <c r="B2" s="1" t="s">
        <v>77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8"/>
      <c r="B3" s="1" t="s">
        <v>78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8"/>
      <c r="B4" s="1" t="s">
        <v>79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8" t="s">
        <v>15</v>
      </c>
      <c r="B5" s="1" t="s">
        <v>77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8"/>
      <c r="B6" s="1" t="s">
        <v>78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8"/>
      <c r="B7" s="1" t="s">
        <v>79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8" t="s">
        <v>18</v>
      </c>
      <c r="B8" s="1" t="s">
        <v>77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8"/>
      <c r="B9" s="1" t="s">
        <v>78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8"/>
      <c r="B10" s="1" t="s">
        <v>79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8" t="s">
        <v>21</v>
      </c>
      <c r="B11" s="1" t="s">
        <v>77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8"/>
      <c r="B12" s="1" t="s">
        <v>78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8"/>
      <c r="B13" s="1" t="s">
        <v>79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8" t="s">
        <v>61</v>
      </c>
      <c r="B14" s="1" t="s">
        <v>77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1.0041454475308643E-3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1.0265000000000001E-3</v>
      </c>
      <c r="K14" s="1">
        <f t="array" ref="K14">IFERROR(AVERAGE(IF(($B$2:$B$46="Clasificacion")*(F$2:F$46&gt;0),F$2:F$46)),0)</f>
        <v>1.0336226851851852E-3</v>
      </c>
    </row>
    <row r="15" spans="1:11">
      <c r="A15" s="108"/>
      <c r="B15" s="1" t="s">
        <v>78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8"/>
      <c r="B16" s="1" t="s">
        <v>79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8" t="s">
        <v>62</v>
      </c>
      <c r="B17" s="1" t="s">
        <v>77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8"/>
      <c r="B18" s="1" t="s">
        <v>78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8"/>
      <c r="B19" s="1" t="s">
        <v>79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8" t="s">
        <v>63</v>
      </c>
      <c r="B20" s="1" t="s">
        <v>77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8"/>
      <c r="B21" s="1" t="s">
        <v>78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8"/>
      <c r="B22" s="1" t="s">
        <v>79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8" t="s">
        <v>64</v>
      </c>
      <c r="B23" s="1" t="s">
        <v>77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8"/>
      <c r="B24" s="1" t="s">
        <v>78</v>
      </c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8"/>
      <c r="B25" s="1" t="s">
        <v>79</v>
      </c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8" t="s">
        <v>34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8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8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8" t="s">
        <v>35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8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8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80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10" t="s">
        <v>2</v>
      </c>
      <c r="B2" s="64" t="s">
        <v>77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41</v>
      </c>
      <c r="J2" s="1">
        <f>IF('Carga Tiempos'!H14=MIN('Carga Tiempos'!$H14,'Carga Tiempos'!$I14,'Carga Tiempos'!$K14),0,'Carga Tiempos'!H14-MIN('Carga Tiempos'!$H14,'Carga Tiempos'!$I14,'Carga Tiempos'!$K14))</f>
        <v>0</v>
      </c>
      <c r="K2" s="1">
        <f>IF('Carga Tiempos'!I14=MIN('Carga Tiempos'!$H14,'Carga Tiempos'!$I14,'Carga Tiempos'!$K14),0,'Carga Tiempos'!I14-MIN('Carga Tiempos'!$H14,'Carga Tiempos'!$I14,'Carga Tiempos'!$K14))</f>
        <v>1.261574074074099E-6</v>
      </c>
      <c r="L2" s="1">
        <f>IF('Carga Tiempos'!K14=MIN('Carga Tiempos'!$H14,'Carga Tiempos'!$I14,'Carga Tiempos'!$K14),0,'Carga Tiempos'!K14-MIN('Carga Tiempos'!$H14,'Carga Tiempos'!$I14,'Carga Tiempos'!$K14))</f>
        <v>2.9477237654320894E-5</v>
      </c>
      <c r="M2" s="1"/>
      <c r="N2" s="1"/>
      <c r="O2" s="1"/>
      <c r="P2" s="1"/>
    </row>
    <row r="3" spans="1:16">
      <c r="A3" s="111"/>
      <c r="B3" s="62" t="s">
        <v>78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49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11"/>
      <c r="B4" s="62" t="s">
        <v>79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60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10" t="s">
        <v>15</v>
      </c>
      <c r="B5" s="64" t="s">
        <v>77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1"/>
      <c r="B6" s="62" t="s">
        <v>78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2"/>
      <c r="B7" s="66" t="s">
        <v>79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1" t="s">
        <v>18</v>
      </c>
      <c r="B8" s="64" t="s">
        <v>77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1"/>
      <c r="B9" s="62" t="s">
        <v>78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2"/>
      <c r="B10" s="66" t="s">
        <v>79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1" t="s">
        <v>21</v>
      </c>
      <c r="B11" s="64" t="s">
        <v>77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1"/>
      <c r="B12" s="62" t="s">
        <v>78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1"/>
      <c r="B13" s="62" t="s">
        <v>79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10" t="s">
        <v>61</v>
      </c>
      <c r="B14" s="64" t="s">
        <v>77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1"/>
      <c r="B15" s="62" t="s">
        <v>78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2"/>
      <c r="B16" s="66" t="s">
        <v>79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1" t="s">
        <v>62</v>
      </c>
      <c r="B17" s="62" t="s">
        <v>77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1"/>
      <c r="B18" s="62" t="s">
        <v>78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1"/>
      <c r="B19" s="62" t="s">
        <v>79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10" t="s">
        <v>63</v>
      </c>
      <c r="B20" s="64" t="s">
        <v>77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1"/>
      <c r="B21" s="62" t="s">
        <v>78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1"/>
      <c r="B22" s="62" t="s">
        <v>79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10" t="s">
        <v>33</v>
      </c>
      <c r="B23" s="64" t="s">
        <v>77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1"/>
      <c r="B24" s="62" t="s">
        <v>78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2"/>
      <c r="B25" s="66" t="s">
        <v>79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1" t="s">
        <v>34</v>
      </c>
      <c r="B26" s="62" t="s">
        <v>77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1"/>
      <c r="B27" s="62" t="s">
        <v>78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1"/>
      <c r="B28" s="62" t="s">
        <v>79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10" t="s">
        <v>35</v>
      </c>
      <c r="B29" s="64" t="s">
        <v>77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1"/>
      <c r="B30" s="62" t="s">
        <v>78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2"/>
      <c r="B31" s="66" t="s">
        <v>79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W73"/>
  <sheetViews>
    <sheetView workbookViewId="0">
      <selection activeCell="N54" sqref="N54"/>
    </sheetView>
  </sheetViews>
  <sheetFormatPr defaultRowHeight="15"/>
  <cols>
    <col min="2" max="4" width="10.140625" bestFit="1" customWidth="1"/>
    <col min="5" max="6" width="9.85546875" bestFit="1" customWidth="1"/>
    <col min="8" max="8" width="9.85546875" bestFit="1" customWidth="1"/>
    <col min="11" max="12" width="10.140625" bestFit="1" customWidth="1"/>
    <col min="14" max="14" width="9.8554687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97" t="s">
        <v>63</v>
      </c>
      <c r="L1" s="97"/>
      <c r="M1" s="97"/>
      <c r="N1" s="97"/>
      <c r="O1" s="97"/>
      <c r="P1" s="97"/>
      <c r="Q1" s="97"/>
      <c r="R1" s="97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95" t="s">
        <v>81</v>
      </c>
      <c r="L2" s="96"/>
      <c r="M2" s="95" t="s">
        <v>82</v>
      </c>
      <c r="N2" s="96"/>
      <c r="O2" s="95" t="s">
        <v>83</v>
      </c>
      <c r="P2" s="96"/>
      <c r="Q2" s="95" t="s">
        <v>84</v>
      </c>
      <c r="R2" s="96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85</v>
      </c>
      <c r="N3" s="77">
        <v>1.2796759259259259E-3</v>
      </c>
      <c r="O3" s="86" t="s">
        <v>85</v>
      </c>
      <c r="P3" s="84">
        <v>1.4428356481481482E-3</v>
      </c>
      <c r="Q3" s="83" t="s">
        <v>85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86</v>
      </c>
      <c r="N4" s="77">
        <v>1.2429976851851853E-3</v>
      </c>
      <c r="O4" s="83" t="s">
        <v>86</v>
      </c>
      <c r="P4" s="81">
        <v>1.2858101851851852E-3</v>
      </c>
      <c r="Q4" s="83" t="s">
        <v>86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87</v>
      </c>
      <c r="N5" s="77">
        <v>1.2377777777777777E-3</v>
      </c>
      <c r="O5" s="87" t="s">
        <v>87</v>
      </c>
      <c r="P5" s="81">
        <v>1.2647453703703703E-3</v>
      </c>
      <c r="Q5" s="83" t="s">
        <v>87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88</v>
      </c>
      <c r="N6" s="77">
        <v>1.3249884259259259E-3</v>
      </c>
      <c r="O6" s="83" t="s">
        <v>88</v>
      </c>
      <c r="P6" s="81">
        <v>1.2908564814814816E-3</v>
      </c>
      <c r="Q6" s="83" t="s">
        <v>88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89</v>
      </c>
      <c r="N7" s="77">
        <v>1.2426273148148149E-3</v>
      </c>
      <c r="O7" s="87" t="s">
        <v>89</v>
      </c>
      <c r="P7" s="81">
        <v>1.2742476851851851E-3</v>
      </c>
      <c r="Q7" s="83" t="s">
        <v>89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90</v>
      </c>
      <c r="N8" s="77">
        <v>1.2478472222222222E-3</v>
      </c>
      <c r="O8" s="83" t="s">
        <v>90</v>
      </c>
      <c r="P8" s="81">
        <v>1.2452199074074073E-3</v>
      </c>
      <c r="Q8" s="83" t="s">
        <v>90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91</v>
      </c>
      <c r="N9" s="77">
        <v>1.248275462962963E-3</v>
      </c>
      <c r="O9" s="83" t="s">
        <v>91</v>
      </c>
      <c r="P9" s="81">
        <v>1.2555324074074075E-3</v>
      </c>
      <c r="Q9" s="83" t="s">
        <v>91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92</v>
      </c>
      <c r="N10" s="77">
        <v>1.2653240740740741E-3</v>
      </c>
      <c r="O10" s="87" t="s">
        <v>92</v>
      </c>
      <c r="P10" s="81">
        <v>1.2631365740740741E-3</v>
      </c>
      <c r="Q10" s="83" t="s">
        <v>92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93</v>
      </c>
      <c r="N11" s="77">
        <v>1.6837615740740741E-3</v>
      </c>
      <c r="O11" s="83" t="s">
        <v>93</v>
      </c>
      <c r="P11" s="81">
        <v>1.4671412037037036E-3</v>
      </c>
      <c r="Q11" s="83" t="s">
        <v>93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94</v>
      </c>
      <c r="N12" s="77">
        <v>1.543287037037037E-3</v>
      </c>
      <c r="O12" s="83" t="s">
        <v>94</v>
      </c>
      <c r="P12" s="81">
        <v>1.5160185185185185E-3</v>
      </c>
      <c r="Q12" s="83" t="s">
        <v>94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95</v>
      </c>
      <c r="N13" s="77">
        <v>1.9202893518518521E-3</v>
      </c>
      <c r="O13" s="83" t="s">
        <v>95</v>
      </c>
      <c r="P13" s="81">
        <v>1.9527199074074074E-3</v>
      </c>
      <c r="Q13" s="83" t="s">
        <v>95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96</v>
      </c>
      <c r="N14" s="77">
        <v>1.2480787037037037E-3</v>
      </c>
      <c r="O14" s="83" t="s">
        <v>96</v>
      </c>
      <c r="P14" s="81">
        <v>1.2462037037037036E-3</v>
      </c>
      <c r="Q14" s="83" t="s">
        <v>96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97</v>
      </c>
      <c r="N15" s="77">
        <v>1.241701388888889E-3</v>
      </c>
      <c r="O15" s="87" t="s">
        <v>97</v>
      </c>
      <c r="P15" s="81">
        <v>1.2494560185185185E-3</v>
      </c>
      <c r="Q15" s="83" t="s">
        <v>97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98</v>
      </c>
      <c r="N16" s="77">
        <v>1.2480208333333334E-3</v>
      </c>
      <c r="O16" s="88" t="s">
        <v>98</v>
      </c>
      <c r="P16" s="81">
        <v>1.2403703703703704E-3</v>
      </c>
      <c r="Q16" s="83" t="s">
        <v>98</v>
      </c>
      <c r="R16" s="81">
        <v>1.2403703703703704E-3</v>
      </c>
      <c r="S16" s="1"/>
      <c r="T16" s="1"/>
      <c r="U16" s="1"/>
      <c r="V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99</v>
      </c>
      <c r="N17" s="80">
        <v>1.2779629629629629E-3</v>
      </c>
      <c r="O17" s="85" t="s">
        <v>99</v>
      </c>
      <c r="P17" s="82">
        <v>1.2507638888888889E-3</v>
      </c>
      <c r="Q17" s="85" t="s">
        <v>99</v>
      </c>
      <c r="R17" s="82">
        <v>1.2507638888888889E-3</v>
      </c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5" spans="1:23" ht="34.5">
      <c r="A25" s="97" t="s">
        <v>100</v>
      </c>
      <c r="B25" s="97"/>
      <c r="C25" s="97"/>
      <c r="D25" s="97"/>
      <c r="E25" s="97"/>
      <c r="F25" s="97"/>
      <c r="G25" s="97"/>
      <c r="H25" s="97"/>
      <c r="I25" s="1"/>
      <c r="J25" s="1"/>
      <c r="K25" s="97" t="s">
        <v>101</v>
      </c>
      <c r="L25" s="97"/>
      <c r="M25" s="97"/>
      <c r="N25" s="97"/>
      <c r="O25" s="97"/>
      <c r="P25" s="97"/>
      <c r="Q25" s="97"/>
      <c r="R25" s="97"/>
      <c r="S25" s="1"/>
      <c r="T25" s="1"/>
      <c r="U25" s="1"/>
      <c r="V25" s="1"/>
      <c r="W25" s="1"/>
    </row>
    <row r="26" spans="1:23">
      <c r="A26" s="95" t="s">
        <v>102</v>
      </c>
      <c r="B26" s="96"/>
      <c r="C26" s="95" t="s">
        <v>103</v>
      </c>
      <c r="D26" s="96"/>
      <c r="E26" s="113" t="s">
        <v>104</v>
      </c>
      <c r="F26" s="114"/>
      <c r="G26" s="95" t="s">
        <v>105</v>
      </c>
      <c r="H26" s="96"/>
      <c r="I26" s="1"/>
      <c r="J26" s="1"/>
      <c r="K26" s="95" t="s">
        <v>81</v>
      </c>
      <c r="L26" s="96"/>
      <c r="M26" s="95" t="s">
        <v>82</v>
      </c>
      <c r="N26" s="96"/>
      <c r="O26" s="113" t="s">
        <v>83</v>
      </c>
      <c r="P26" s="114"/>
      <c r="Q26" s="95" t="s">
        <v>84</v>
      </c>
      <c r="R26" s="96"/>
      <c r="S26" s="1"/>
      <c r="T26" s="1"/>
      <c r="U26" s="1"/>
      <c r="V26" s="1"/>
      <c r="W26" s="1"/>
    </row>
    <row r="27" spans="1:23">
      <c r="A27" s="119">
        <v>1</v>
      </c>
      <c r="B27" s="120">
        <v>1.1538888888888888E-3</v>
      </c>
      <c r="C27" s="119">
        <v>1</v>
      </c>
      <c r="D27" s="120">
        <v>1.1476041666666666E-3</v>
      </c>
      <c r="E27" s="119">
        <v>1</v>
      </c>
      <c r="F27" s="120">
        <v>1.1644560185185187E-3</v>
      </c>
      <c r="G27" s="121">
        <v>1</v>
      </c>
      <c r="H27" s="122">
        <v>1.1644560185185187E-3</v>
      </c>
      <c r="I27" s="1"/>
      <c r="J27" s="1"/>
      <c r="K27" s="123">
        <v>1</v>
      </c>
      <c r="L27" s="124">
        <v>1.4355671296296297E-3</v>
      </c>
      <c r="M27" s="123">
        <v>1</v>
      </c>
      <c r="N27" s="124">
        <v>1.4123148148148148E-3</v>
      </c>
      <c r="O27" s="115">
        <v>1</v>
      </c>
      <c r="P27" s="116">
        <v>1.4081597222222223E-3</v>
      </c>
      <c r="Q27" s="123">
        <v>1</v>
      </c>
      <c r="R27" s="124">
        <v>1.4081597222222223E-3</v>
      </c>
      <c r="S27" s="94"/>
      <c r="T27" s="1"/>
      <c r="U27" s="1"/>
      <c r="V27" s="1"/>
      <c r="W27" s="1"/>
    </row>
    <row r="28" spans="1:23">
      <c r="A28" s="119">
        <v>2</v>
      </c>
      <c r="B28" s="120">
        <v>1.1098379629629629E-3</v>
      </c>
      <c r="C28" s="119">
        <v>2</v>
      </c>
      <c r="D28" s="120">
        <v>1.1111458333333333E-3</v>
      </c>
      <c r="E28" s="119">
        <v>2</v>
      </c>
      <c r="F28" s="120">
        <v>1.1378703703703703E-3</v>
      </c>
      <c r="G28" s="121">
        <v>2</v>
      </c>
      <c r="H28" s="122">
        <v>1.1378703703703703E-3</v>
      </c>
      <c r="I28" s="1"/>
      <c r="J28" s="1"/>
      <c r="K28" s="123">
        <v>2</v>
      </c>
      <c r="L28" s="124">
        <v>1.1143287037037035E-3</v>
      </c>
      <c r="M28" s="123">
        <v>2</v>
      </c>
      <c r="N28" s="124">
        <v>1.1365393518518519E-3</v>
      </c>
      <c r="O28" s="115">
        <v>2</v>
      </c>
      <c r="P28" s="116">
        <v>1.1394212962962964E-3</v>
      </c>
      <c r="Q28" s="123">
        <v>2</v>
      </c>
      <c r="R28" s="124">
        <v>1.1394212962962964E-3</v>
      </c>
      <c r="S28" s="1"/>
      <c r="T28" s="1"/>
      <c r="U28" s="1"/>
      <c r="V28" s="1"/>
      <c r="W28" s="1"/>
    </row>
    <row r="29" spans="1:23">
      <c r="A29" s="119">
        <v>3</v>
      </c>
      <c r="B29" s="120">
        <v>1.110173611111111E-3</v>
      </c>
      <c r="C29" s="119">
        <v>3</v>
      </c>
      <c r="D29" s="120">
        <v>1.0993171296296296E-3</v>
      </c>
      <c r="E29" s="119">
        <v>3</v>
      </c>
      <c r="F29" s="120">
        <v>1.1312268518518518E-3</v>
      </c>
      <c r="G29" s="121">
        <v>3</v>
      </c>
      <c r="H29" s="122">
        <v>1.1312268518518518E-3</v>
      </c>
      <c r="I29" s="1"/>
      <c r="J29" s="1"/>
      <c r="K29" s="123">
        <v>3</v>
      </c>
      <c r="L29" s="124">
        <v>1.1773726851851852E-3</v>
      </c>
      <c r="M29" s="123">
        <v>3</v>
      </c>
      <c r="N29" s="124">
        <v>1.1328703703703702E-3</v>
      </c>
      <c r="O29" s="115">
        <v>3</v>
      </c>
      <c r="P29" s="116">
        <v>1.1317361111111111E-3</v>
      </c>
      <c r="Q29" s="123">
        <v>3</v>
      </c>
      <c r="R29" s="124">
        <v>1.1317361111111111E-3</v>
      </c>
      <c r="S29" s="1"/>
      <c r="T29" s="1"/>
      <c r="U29" s="1"/>
      <c r="V29" s="1"/>
      <c r="W29" s="1"/>
    </row>
    <row r="30" spans="1:23">
      <c r="A30" s="119">
        <v>4</v>
      </c>
      <c r="B30" s="120">
        <v>1.1127083333333334E-3</v>
      </c>
      <c r="C30" s="119">
        <v>4</v>
      </c>
      <c r="D30" s="120">
        <v>1.0976736111111111E-3</v>
      </c>
      <c r="E30" s="119">
        <v>4</v>
      </c>
      <c r="F30" s="120">
        <v>1.1532986111111112E-3</v>
      </c>
      <c r="G30" s="121">
        <v>4</v>
      </c>
      <c r="H30" s="122">
        <v>1.1532986111111112E-3</v>
      </c>
      <c r="I30" s="1"/>
      <c r="J30" s="1"/>
      <c r="K30" s="123">
        <v>4</v>
      </c>
      <c r="L30" s="124">
        <v>1.1155787037037037E-3</v>
      </c>
      <c r="M30" s="123">
        <v>4</v>
      </c>
      <c r="N30" s="124">
        <v>1.1118055555555556E-3</v>
      </c>
      <c r="O30" s="115">
        <v>4</v>
      </c>
      <c r="P30" s="116">
        <v>2.0264583333333337E-3</v>
      </c>
      <c r="Q30" s="123">
        <v>4</v>
      </c>
      <c r="R30" s="124">
        <v>2.0264583333333337E-3</v>
      </c>
      <c r="S30" s="1"/>
      <c r="T30" s="1"/>
      <c r="U30" s="1"/>
      <c r="V30" s="1"/>
      <c r="W30" s="1"/>
    </row>
    <row r="31" spans="1:23">
      <c r="A31" s="119">
        <v>5</v>
      </c>
      <c r="B31" s="120">
        <v>1.1121296296296296E-3</v>
      </c>
      <c r="C31" s="119">
        <v>5</v>
      </c>
      <c r="D31" s="120">
        <v>1.1186458333333335E-3</v>
      </c>
      <c r="E31" s="119">
        <v>5</v>
      </c>
      <c r="F31" s="120">
        <v>1.1660416666666668E-3</v>
      </c>
      <c r="G31" s="121">
        <v>5</v>
      </c>
      <c r="H31" s="122">
        <v>1.1660416666666668E-3</v>
      </c>
      <c r="I31" s="1"/>
      <c r="J31" s="1"/>
      <c r="K31" s="123">
        <v>5</v>
      </c>
      <c r="L31" s="124">
        <v>1.1346180555555556E-3</v>
      </c>
      <c r="M31" s="123">
        <v>5</v>
      </c>
      <c r="N31" s="124">
        <v>1.0958333333333334E-3</v>
      </c>
      <c r="O31" s="115">
        <v>5</v>
      </c>
      <c r="P31" s="116">
        <v>1.198900462962963E-3</v>
      </c>
      <c r="Q31" s="123">
        <v>5</v>
      </c>
      <c r="R31" s="124">
        <v>1.198900462962963E-3</v>
      </c>
      <c r="S31" s="1"/>
      <c r="T31" s="1"/>
      <c r="U31" s="1"/>
      <c r="V31" s="1"/>
      <c r="W31" s="1"/>
    </row>
    <row r="32" spans="1:23">
      <c r="A32" s="119">
        <v>6</v>
      </c>
      <c r="B32" s="120">
        <v>1.1231828703703705E-3</v>
      </c>
      <c r="C32" s="119">
        <v>6</v>
      </c>
      <c r="D32" s="120">
        <v>1.1192708333333332E-3</v>
      </c>
      <c r="E32" s="119">
        <v>6</v>
      </c>
      <c r="F32" s="120">
        <v>1.1783333333333333E-3</v>
      </c>
      <c r="G32" s="121">
        <v>6</v>
      </c>
      <c r="H32" s="122">
        <v>1.1783333333333333E-3</v>
      </c>
      <c r="I32" s="1"/>
      <c r="J32" s="1"/>
      <c r="K32" s="123">
        <v>6</v>
      </c>
      <c r="L32" s="124">
        <v>1.1811458333333333E-3</v>
      </c>
      <c r="M32" s="123">
        <v>6</v>
      </c>
      <c r="N32" s="124">
        <v>1.1103587962962964E-3</v>
      </c>
      <c r="O32" s="115">
        <v>6</v>
      </c>
      <c r="P32" s="116">
        <v>1.3676157407407409E-3</v>
      </c>
      <c r="Q32" s="123">
        <v>6</v>
      </c>
      <c r="R32" s="124">
        <v>1.3676157407407409E-3</v>
      </c>
      <c r="S32" s="1"/>
      <c r="T32" s="1"/>
      <c r="U32" s="1"/>
      <c r="V32" s="1"/>
      <c r="W32" s="1"/>
    </row>
    <row r="33" spans="1:23">
      <c r="A33" s="119">
        <v>7</v>
      </c>
      <c r="B33" s="120">
        <v>1.1183564814814815E-3</v>
      </c>
      <c r="C33" s="119">
        <v>7</v>
      </c>
      <c r="D33" s="120">
        <v>1.1119675925925926E-3</v>
      </c>
      <c r="E33" s="119">
        <v>7</v>
      </c>
      <c r="F33" s="120">
        <v>1.1461342592592593E-3</v>
      </c>
      <c r="G33" s="121">
        <v>7</v>
      </c>
      <c r="H33" s="122">
        <v>1.1461342592592593E-3</v>
      </c>
      <c r="I33" s="1"/>
      <c r="J33" s="1"/>
      <c r="K33" s="123">
        <v>7</v>
      </c>
      <c r="L33" s="124">
        <v>1.1964467592592591E-3</v>
      </c>
      <c r="M33" s="123">
        <v>7</v>
      </c>
      <c r="N33" s="124">
        <v>1.1330787037037036E-3</v>
      </c>
      <c r="O33" s="115">
        <v>7</v>
      </c>
      <c r="P33" s="116">
        <v>1.2607407407407407E-3</v>
      </c>
      <c r="Q33" s="123">
        <v>7</v>
      </c>
      <c r="R33" s="124">
        <v>1.2607407407407407E-3</v>
      </c>
      <c r="S33" s="1"/>
      <c r="T33" s="1"/>
      <c r="U33" s="1"/>
      <c r="V33" s="1"/>
      <c r="W33" s="1"/>
    </row>
    <row r="34" spans="1:23">
      <c r="A34" s="119">
        <v>8</v>
      </c>
      <c r="B34" s="120">
        <v>1.124398148148148E-3</v>
      </c>
      <c r="C34" s="119">
        <v>8</v>
      </c>
      <c r="D34" s="120">
        <v>1.1048148148148148E-3</v>
      </c>
      <c r="E34" s="119">
        <v>8</v>
      </c>
      <c r="F34" s="120">
        <v>1.2261226851851851E-3</v>
      </c>
      <c r="G34" s="121">
        <v>8</v>
      </c>
      <c r="H34" s="122">
        <v>1.2261226851851851E-3</v>
      </c>
      <c r="I34" s="1"/>
      <c r="J34" s="1"/>
      <c r="K34" s="123">
        <v>8</v>
      </c>
      <c r="L34" s="124">
        <v>1.1544097222222223E-3</v>
      </c>
      <c r="M34" s="123">
        <v>8</v>
      </c>
      <c r="N34" s="124">
        <v>1.1489930555555554E-3</v>
      </c>
      <c r="O34" s="115">
        <v>8</v>
      </c>
      <c r="P34" s="116">
        <v>1.1238657407407408E-3</v>
      </c>
      <c r="Q34" s="123">
        <v>8</v>
      </c>
      <c r="R34" s="124">
        <v>1.1238657407407408E-3</v>
      </c>
      <c r="S34" s="1"/>
      <c r="T34" s="1"/>
      <c r="U34" s="1"/>
      <c r="V34" s="1"/>
      <c r="W34" s="1"/>
    </row>
    <row r="35" spans="1:23">
      <c r="A35" s="119">
        <v>9</v>
      </c>
      <c r="B35" s="120">
        <v>1.2592476851851853E-3</v>
      </c>
      <c r="C35" s="119">
        <v>9</v>
      </c>
      <c r="D35" s="120">
        <v>1.0967939814814816E-3</v>
      </c>
      <c r="E35" s="119">
        <v>9</v>
      </c>
      <c r="F35" s="120">
        <v>1.1561111111111112E-3</v>
      </c>
      <c r="G35" s="121">
        <v>9</v>
      </c>
      <c r="H35" s="122">
        <v>1.1561111111111112E-3</v>
      </c>
      <c r="I35" s="1"/>
      <c r="J35" s="1"/>
      <c r="K35" s="123">
        <v>9</v>
      </c>
      <c r="L35" s="124">
        <v>1.2505092592592592E-3</v>
      </c>
      <c r="M35" s="123">
        <v>9</v>
      </c>
      <c r="N35" s="124">
        <v>1.1331134259259261E-3</v>
      </c>
      <c r="O35" s="115">
        <v>9</v>
      </c>
      <c r="P35" s="116">
        <v>1.2741203703703703E-3</v>
      </c>
      <c r="Q35" s="123">
        <v>9</v>
      </c>
      <c r="R35" s="124">
        <v>1.2741203703703703E-3</v>
      </c>
      <c r="S35" s="1"/>
      <c r="T35" s="1"/>
      <c r="U35" s="1"/>
      <c r="V35" s="1"/>
      <c r="W35" s="1"/>
    </row>
    <row r="36" spans="1:23">
      <c r="A36" s="119">
        <v>10</v>
      </c>
      <c r="B36" s="120">
        <v>1.1363194444444444E-3</v>
      </c>
      <c r="C36" s="119">
        <v>10</v>
      </c>
      <c r="D36" s="120">
        <v>1.1534143518518519E-3</v>
      </c>
      <c r="E36" s="119">
        <v>10</v>
      </c>
      <c r="F36" s="120">
        <v>1.1621296296296297E-3</v>
      </c>
      <c r="G36" s="121">
        <v>10</v>
      </c>
      <c r="H36" s="122">
        <v>1.1621296296296297E-3</v>
      </c>
      <c r="I36" s="1"/>
      <c r="J36" s="1"/>
      <c r="K36" s="123">
        <v>10</v>
      </c>
      <c r="L36" s="124">
        <v>1.1465856481481481E-3</v>
      </c>
      <c r="M36" s="123">
        <v>10</v>
      </c>
      <c r="N36" s="124">
        <v>1.1556481481481481E-3</v>
      </c>
      <c r="O36" s="115">
        <v>10</v>
      </c>
      <c r="P36" s="116">
        <v>1.1596180555555557E-3</v>
      </c>
      <c r="Q36" s="123">
        <v>10</v>
      </c>
      <c r="R36" s="124">
        <v>1.1596180555555557E-3</v>
      </c>
      <c r="S36" s="1"/>
      <c r="T36" s="1"/>
      <c r="U36" s="1"/>
      <c r="V36" s="1"/>
      <c r="W36" s="1"/>
    </row>
    <row r="37" spans="1:23">
      <c r="A37" s="119">
        <v>11</v>
      </c>
      <c r="B37" s="120">
        <v>1.3982291666666668E-3</v>
      </c>
      <c r="C37" s="119">
        <v>11</v>
      </c>
      <c r="D37" s="120">
        <v>1.2330902777777778E-3</v>
      </c>
      <c r="E37" s="119">
        <v>11</v>
      </c>
      <c r="F37" s="120">
        <v>1.2419907407407406E-3</v>
      </c>
      <c r="G37" s="121">
        <v>11</v>
      </c>
      <c r="H37" s="122">
        <v>1.2419907407407406E-3</v>
      </c>
      <c r="I37" s="1"/>
      <c r="J37" s="1"/>
      <c r="K37" s="123">
        <v>11</v>
      </c>
      <c r="L37" s="124">
        <v>1.1611226851851852E-3</v>
      </c>
      <c r="M37" s="123">
        <v>11</v>
      </c>
      <c r="N37" s="124">
        <v>1.2279976851851851E-3</v>
      </c>
      <c r="O37" s="115">
        <v>11</v>
      </c>
      <c r="P37" s="116">
        <v>2.1243171296296296E-3</v>
      </c>
      <c r="Q37" s="123">
        <v>11</v>
      </c>
      <c r="R37" s="124">
        <v>2.1243171296296296E-3</v>
      </c>
      <c r="S37" s="1"/>
      <c r="T37" s="1"/>
      <c r="U37" s="1"/>
      <c r="V37" s="1"/>
      <c r="W37" s="1"/>
    </row>
    <row r="38" spans="1:23">
      <c r="A38" s="119">
        <v>12</v>
      </c>
      <c r="B38" s="120">
        <v>1.5461458333333332E-3</v>
      </c>
      <c r="C38" s="119">
        <v>12</v>
      </c>
      <c r="D38" s="120">
        <v>1.9078009259259261E-3</v>
      </c>
      <c r="E38" s="119">
        <v>12</v>
      </c>
      <c r="F38" s="120">
        <v>1.4453819444444444E-3</v>
      </c>
      <c r="G38" s="121">
        <v>12</v>
      </c>
      <c r="H38" s="122">
        <v>1.4453819444444444E-3</v>
      </c>
      <c r="I38" s="1"/>
      <c r="J38" s="1"/>
      <c r="K38" s="123">
        <v>12</v>
      </c>
      <c r="L38" s="124">
        <v>1.3398611111111113E-3</v>
      </c>
      <c r="M38" s="123">
        <v>12</v>
      </c>
      <c r="N38" s="124">
        <v>1.310949074074074E-3</v>
      </c>
      <c r="O38" s="115">
        <v>12</v>
      </c>
      <c r="P38" s="116">
        <v>1.4692245370370371E-3</v>
      </c>
      <c r="Q38" s="123">
        <v>12</v>
      </c>
      <c r="R38" s="124">
        <v>1.4692245370370371E-3</v>
      </c>
      <c r="S38" s="1"/>
      <c r="T38" s="1"/>
      <c r="U38" s="1"/>
      <c r="V38" s="1"/>
      <c r="W38" s="1"/>
    </row>
    <row r="39" spans="1:23">
      <c r="A39" s="119">
        <v>13</v>
      </c>
      <c r="B39" s="120">
        <v>1.2216550925925925E-3</v>
      </c>
      <c r="C39" s="119">
        <v>13</v>
      </c>
      <c r="D39" s="120">
        <v>1.2544560185185185E-3</v>
      </c>
      <c r="E39" s="119">
        <v>13</v>
      </c>
      <c r="F39" s="120">
        <v>1.2557175925925926E-3</v>
      </c>
      <c r="G39" s="121">
        <v>13</v>
      </c>
      <c r="H39" s="122">
        <v>1.2557175925925926E-3</v>
      </c>
      <c r="I39" s="1"/>
      <c r="J39" s="1"/>
      <c r="K39" s="123">
        <v>13</v>
      </c>
      <c r="L39" s="124">
        <v>3.8921759259259257E-3</v>
      </c>
      <c r="M39" s="123">
        <v>13</v>
      </c>
      <c r="N39" s="124">
        <v>4.1754282407407408E-3</v>
      </c>
      <c r="O39" s="115">
        <v>13</v>
      </c>
      <c r="P39" s="116">
        <v>1.6091435185185184E-3</v>
      </c>
      <c r="Q39" s="123">
        <v>13</v>
      </c>
      <c r="R39" s="124">
        <v>1.6091435185185184E-3</v>
      </c>
      <c r="S39" s="1"/>
      <c r="T39" s="1"/>
      <c r="U39" s="1"/>
      <c r="V39" s="1"/>
      <c r="W39" s="1"/>
    </row>
    <row r="40" spans="1:23">
      <c r="A40" s="119">
        <v>14</v>
      </c>
      <c r="B40" s="120">
        <v>1.1457523148148147E-3</v>
      </c>
      <c r="C40" s="119">
        <v>14</v>
      </c>
      <c r="D40" s="120">
        <v>1.1745949074074074E-3</v>
      </c>
      <c r="E40" s="119">
        <v>14</v>
      </c>
      <c r="F40" s="120">
        <v>1.1743055555555556E-3</v>
      </c>
      <c r="G40" s="121">
        <v>14</v>
      </c>
      <c r="H40" s="122">
        <v>1.1743055555555556E-3</v>
      </c>
      <c r="I40" s="1"/>
      <c r="J40" s="1"/>
      <c r="K40" s="123">
        <v>14</v>
      </c>
      <c r="L40" s="124">
        <v>1.1608564814814815E-3</v>
      </c>
      <c r="M40" s="123">
        <v>14</v>
      </c>
      <c r="N40" s="124">
        <v>1.1806365740740742E-3</v>
      </c>
      <c r="O40" s="115">
        <v>14</v>
      </c>
      <c r="P40" s="116">
        <v>1.1635069444444444E-3</v>
      </c>
      <c r="Q40" s="123">
        <v>14</v>
      </c>
      <c r="R40" s="124">
        <v>1.1635069444444444E-3</v>
      </c>
      <c r="S40" s="1"/>
      <c r="T40" s="1"/>
      <c r="U40" s="1"/>
      <c r="V40" s="1"/>
      <c r="W40" s="1"/>
    </row>
    <row r="41" spans="1:23">
      <c r="A41" s="119">
        <v>15</v>
      </c>
      <c r="B41" s="120">
        <v>1.5789930555555557E-3</v>
      </c>
      <c r="C41" s="119">
        <v>15</v>
      </c>
      <c r="D41" s="120">
        <v>1.544236111111111E-3</v>
      </c>
      <c r="E41" s="119">
        <v>15</v>
      </c>
      <c r="F41" s="120">
        <v>1.5701967592592592E-3</v>
      </c>
      <c r="G41" s="121">
        <v>15</v>
      </c>
      <c r="H41" s="122">
        <v>1.5701967592592592E-3</v>
      </c>
      <c r="I41" s="1"/>
      <c r="J41" s="1"/>
      <c r="K41" s="123">
        <v>15</v>
      </c>
      <c r="L41" s="124">
        <v>1.1989930555555556E-3</v>
      </c>
      <c r="M41" s="123">
        <v>15</v>
      </c>
      <c r="N41" s="124">
        <v>1.1869444444444445E-3</v>
      </c>
      <c r="O41" s="115">
        <v>15</v>
      </c>
      <c r="P41" s="116">
        <v>1.1449421296296297E-3</v>
      </c>
      <c r="Q41" s="123">
        <v>15</v>
      </c>
      <c r="R41" s="124">
        <v>1.1449421296296297E-3</v>
      </c>
      <c r="S41" s="1"/>
      <c r="T41" s="1"/>
      <c r="U41" s="1"/>
      <c r="V41" s="1"/>
      <c r="W41" s="1"/>
    </row>
    <row r="42" spans="1:23">
      <c r="A42" s="119">
        <v>16</v>
      </c>
      <c r="B42" s="120">
        <v>1.1158217592592591E-3</v>
      </c>
      <c r="C42" s="119">
        <v>16</v>
      </c>
      <c r="D42" s="120">
        <v>1.1127083333333334E-3</v>
      </c>
      <c r="E42" s="119">
        <v>16</v>
      </c>
      <c r="F42" s="120">
        <v>1.2513888888888889E-3</v>
      </c>
      <c r="G42" s="121">
        <v>16</v>
      </c>
      <c r="H42" s="122">
        <v>1.2513888888888889E-3</v>
      </c>
      <c r="I42" s="1"/>
      <c r="J42" s="1"/>
      <c r="K42" s="123">
        <v>16</v>
      </c>
      <c r="L42" s="124">
        <v>1.1175E-3</v>
      </c>
      <c r="M42" s="123">
        <v>16</v>
      </c>
      <c r="N42" s="124">
        <v>1.1115046296296296E-3</v>
      </c>
      <c r="O42" s="115">
        <v>16</v>
      </c>
      <c r="P42" s="116">
        <v>1.140324074074074E-3</v>
      </c>
      <c r="Q42" s="123">
        <v>16</v>
      </c>
      <c r="R42" s="124">
        <v>1.140324074074074E-3</v>
      </c>
      <c r="S42" s="1"/>
      <c r="T42" s="1"/>
      <c r="U42" s="1"/>
      <c r="V42" s="1"/>
      <c r="W42" s="1"/>
    </row>
    <row r="43" spans="1:23">
      <c r="A43" s="119">
        <v>17</v>
      </c>
      <c r="B43" s="120">
        <v>1.1162731481481481E-3</v>
      </c>
      <c r="C43" s="119">
        <v>17</v>
      </c>
      <c r="D43" s="120">
        <v>1.1204629629629629E-3</v>
      </c>
      <c r="E43" s="119">
        <v>17</v>
      </c>
      <c r="F43" s="120">
        <v>1.1524421296296296E-3</v>
      </c>
      <c r="G43" s="121">
        <v>17</v>
      </c>
      <c r="H43" s="122">
        <v>1.1524421296296296E-3</v>
      </c>
      <c r="I43" s="1"/>
      <c r="J43" s="1"/>
      <c r="K43" s="123">
        <v>17</v>
      </c>
      <c r="L43" s="124">
        <v>1.133587962962963E-3</v>
      </c>
      <c r="M43" s="123">
        <v>17</v>
      </c>
      <c r="N43" s="124">
        <v>1.1427777777777777E-3</v>
      </c>
      <c r="O43" s="115">
        <v>17</v>
      </c>
      <c r="P43" s="116">
        <v>1.1632407407407407E-3</v>
      </c>
      <c r="Q43" s="123">
        <v>17</v>
      </c>
      <c r="R43" s="124">
        <v>1.1632407407407407E-3</v>
      </c>
      <c r="S43" s="58"/>
      <c r="T43" s="1"/>
      <c r="U43" s="1"/>
      <c r="V43" s="1"/>
      <c r="W43" s="1"/>
    </row>
    <row r="44" spans="1:23">
      <c r="A44" s="119">
        <v>18</v>
      </c>
      <c r="B44" s="120">
        <v>1.114398148148148E-3</v>
      </c>
      <c r="C44" s="119">
        <v>18</v>
      </c>
      <c r="D44" s="120">
        <v>1.1069444444444445E-3</v>
      </c>
      <c r="E44" s="119">
        <v>18</v>
      </c>
      <c r="F44" s="120">
        <v>1.1676157407407408E-3</v>
      </c>
      <c r="G44" s="121">
        <v>18</v>
      </c>
      <c r="H44" s="122">
        <v>1.1676157407407408E-3</v>
      </c>
      <c r="I44" s="1"/>
      <c r="J44" s="1"/>
      <c r="K44" s="123">
        <v>18</v>
      </c>
      <c r="L44" s="124">
        <v>1.1378240740740741E-3</v>
      </c>
      <c r="M44" s="123">
        <v>18</v>
      </c>
      <c r="N44" s="124">
        <v>1.1362962962962963E-3</v>
      </c>
      <c r="O44" s="115">
        <v>18</v>
      </c>
      <c r="P44" s="116">
        <v>1.1319444444444443E-3</v>
      </c>
      <c r="Q44" s="123">
        <v>18</v>
      </c>
      <c r="R44" s="124">
        <v>1.1319444444444443E-3</v>
      </c>
      <c r="S44" s="58"/>
      <c r="T44" s="1"/>
      <c r="U44" s="1"/>
      <c r="V44" s="1"/>
      <c r="W44" s="1"/>
    </row>
    <row r="45" spans="1:23">
      <c r="A45" s="119">
        <v>19</v>
      </c>
      <c r="B45" s="120">
        <v>1.1236805555555555E-3</v>
      </c>
      <c r="C45" s="119">
        <v>19</v>
      </c>
      <c r="D45" s="120">
        <v>1.1092129629629629E-3</v>
      </c>
      <c r="E45" s="119">
        <v>19</v>
      </c>
      <c r="F45" s="120">
        <v>1.1594328703703703E-3</v>
      </c>
      <c r="G45" s="121">
        <v>19</v>
      </c>
      <c r="H45" s="122">
        <v>1.1594328703703703E-3</v>
      </c>
      <c r="I45" s="1"/>
      <c r="J45" s="1"/>
      <c r="K45" s="123">
        <v>19</v>
      </c>
      <c r="L45" s="124">
        <v>1.1439699074074073E-3</v>
      </c>
      <c r="M45" s="123">
        <v>19</v>
      </c>
      <c r="N45" s="124">
        <v>1.1471990740740739E-3</v>
      </c>
      <c r="O45" s="115">
        <v>19</v>
      </c>
      <c r="P45" s="116">
        <v>1.149375E-3</v>
      </c>
      <c r="Q45" s="123">
        <v>19</v>
      </c>
      <c r="R45" s="124">
        <v>1.149375E-3</v>
      </c>
      <c r="S45" s="58"/>
      <c r="T45" s="1"/>
      <c r="U45" s="1"/>
      <c r="V45" s="1"/>
      <c r="W45" s="1"/>
    </row>
    <row r="46" spans="1:23">
      <c r="A46" s="119">
        <v>20</v>
      </c>
      <c r="B46" s="120">
        <v>1.1430092592592592E-3</v>
      </c>
      <c r="C46" s="119">
        <v>20</v>
      </c>
      <c r="D46" s="120">
        <v>1.1691319444444444E-3</v>
      </c>
      <c r="E46" s="119">
        <v>20</v>
      </c>
      <c r="F46" s="120">
        <v>1.2307523148148149E-3</v>
      </c>
      <c r="G46" s="121">
        <v>20</v>
      </c>
      <c r="H46" s="122">
        <v>1.2307523148148149E-3</v>
      </c>
      <c r="I46" s="1"/>
      <c r="J46" s="1"/>
      <c r="K46" s="125">
        <v>20</v>
      </c>
      <c r="L46" s="126">
        <v>1.1290277777777778E-3</v>
      </c>
      <c r="M46" s="125">
        <v>20</v>
      </c>
      <c r="N46" s="126">
        <v>1.1019907407407408E-3</v>
      </c>
      <c r="O46" s="117">
        <v>20</v>
      </c>
      <c r="P46" s="118">
        <v>1.1516666666666665E-3</v>
      </c>
      <c r="Q46" s="125">
        <v>20</v>
      </c>
      <c r="R46" s="126">
        <v>1.1516666666666665E-3</v>
      </c>
      <c r="S46" s="1"/>
      <c r="T46" s="1"/>
      <c r="U46" s="1"/>
      <c r="V46" s="1"/>
      <c r="W46" s="1"/>
    </row>
    <row r="47" spans="1:23">
      <c r="A47" s="1"/>
      <c r="B47" s="89"/>
      <c r="C47" s="90"/>
      <c r="D47" s="91"/>
      <c r="E47" s="90"/>
      <c r="F47" s="91"/>
      <c r="G47" s="1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5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18">
      <c r="A49" s="1"/>
      <c r="B49" s="58">
        <f>+AVERAGE(B27:B36,B40:B46)</f>
        <v>1.1587159586056647E-3</v>
      </c>
      <c r="C49" s="1"/>
      <c r="D49" s="58">
        <f>+AVERAGE(D27:D36,D40:D46)</f>
        <v>1.1469376361655772E-3</v>
      </c>
      <c r="E49" s="1"/>
      <c r="F49" s="58">
        <f>+AVERAGE(F27:F36,F40:F46)</f>
        <v>1.1957563997821352E-3</v>
      </c>
      <c r="G49" s="1"/>
      <c r="H49" s="58">
        <f>+AVERAGE(H27:H36,H40:H46)</f>
        <v>1.1957563997821352E-3</v>
      </c>
      <c r="I49" s="1"/>
      <c r="J49" s="1"/>
      <c r="K49" s="1"/>
      <c r="L49" s="58">
        <f>+AVERAGE(L27:L37,L40:L46)</f>
        <v>1.1716358024691359E-3</v>
      </c>
      <c r="M49" s="1"/>
      <c r="N49" s="58">
        <f>+AVERAGE(N27:N37,N40:N46)</f>
        <v>1.1558834876543207E-3</v>
      </c>
      <c r="O49" s="1"/>
      <c r="P49" s="58">
        <f>+AVERAGE(P27:P37,P40:P46)</f>
        <v>1.2922196502057615E-3</v>
      </c>
      <c r="Q49" s="1"/>
      <c r="R49" s="58">
        <f>+AVERAGE(R27:R37,R40:R46)</f>
        <v>1.2922196502057615E-3</v>
      </c>
    </row>
    <row r="50" spans="1:1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1"/>
      <c r="B51" s="91">
        <f>+SUM(B49-D49)</f>
        <v>1.1778322440087483E-5</v>
      </c>
      <c r="C51" s="90"/>
      <c r="D51" s="58">
        <v>1.1469376361655772E-3</v>
      </c>
      <c r="E51" s="90"/>
      <c r="F51" s="91">
        <f>+SUM(F49-D49)</f>
        <v>4.8818763616557959E-5</v>
      </c>
      <c r="G51" s="1"/>
      <c r="H51" s="91">
        <f>+SUM(H49-D49)</f>
        <v>4.8818763616557959E-5</v>
      </c>
      <c r="I51" s="1"/>
      <c r="J51" s="1"/>
      <c r="K51" s="1"/>
      <c r="L51" s="91">
        <f>+SUM(L49-N49)</f>
        <v>1.5752314814815229E-5</v>
      </c>
      <c r="M51" s="90"/>
      <c r="N51" s="58">
        <v>1.1558834876543207E-3</v>
      </c>
      <c r="O51" s="90"/>
      <c r="P51" s="91">
        <f>+SUM(P49-N49)</f>
        <v>1.3633616255144076E-4</v>
      </c>
      <c r="Q51" s="1"/>
      <c r="R51" s="91">
        <f>+SUM(R49-N49)</f>
        <v>1.3633616255144076E-4</v>
      </c>
    </row>
    <row r="52" spans="1:1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</sheetData>
  <mergeCells count="15">
    <mergeCell ref="K25:R25"/>
    <mergeCell ref="K26:L26"/>
    <mergeCell ref="Q26:R26"/>
    <mergeCell ref="O26:P26"/>
    <mergeCell ref="M26:N26"/>
    <mergeCell ref="K2:L2"/>
    <mergeCell ref="Q2:R2"/>
    <mergeCell ref="M2:N2"/>
    <mergeCell ref="O2:P2"/>
    <mergeCell ref="K1:R1"/>
    <mergeCell ref="A25:H25"/>
    <mergeCell ref="A26:B26"/>
    <mergeCell ref="G26:H26"/>
    <mergeCell ref="C26:D26"/>
    <mergeCell ref="E26:F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2026-08-04T04:17:28Z</dcterms:modified>
  <cp:category/>
  <cp:contentStatus/>
</cp:coreProperties>
</file>